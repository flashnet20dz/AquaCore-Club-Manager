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" sheetId="1" state="visible" r:id="rId1"/>
    <sheet xmlns:r="http://schemas.openxmlformats.org/officeDocument/2006/relationships" name="لوحة_التحكم" sheetId="2" state="visible" r:id="rId2"/>
    <sheet xmlns:r="http://schemas.openxmlformats.org/officeDocument/2006/relationships" name="حقوق_المركب" sheetId="3" state="visible" r:id="rId3"/>
    <sheet xmlns:r="http://schemas.openxmlformats.org/officeDocument/2006/relationships" name="التجديد" sheetId="4" state="visible" r:id="rId4"/>
    <sheet xmlns:r="http://schemas.openxmlformats.org/officeDocument/2006/relationships" name="فئات_الأعمار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دج&quot;"/>
    <numFmt numFmtId="165" formatCode="DD/MM/YYYY"/>
  </numFmts>
  <fonts count="19">
    <font>
      <name val="Calibri"/>
      <family val="2"/>
      <color theme="1"/>
      <sz val="11"/>
      <scheme val="minor"/>
    </font>
    <font>
      <name val="FreeSans"/>
      <b val="1"/>
      <color rgb="FFFFFFFF"/>
      <sz val="20"/>
    </font>
    <font>
      <name val="FreeSans"/>
      <b val="1"/>
      <color rgb="FFFFFFFF"/>
      <sz val="10"/>
    </font>
    <font>
      <name val="Calibri"/>
      <b val="1"/>
      <color rgb="FF1B3A6B"/>
      <sz val="10"/>
    </font>
    <font>
      <name val="FreeSans"/>
      <color rgb="FF1F2937"/>
      <sz val="11"/>
    </font>
    <font>
      <name val="Calibri"/>
      <color rgb="FF1F2937"/>
      <sz val="10"/>
    </font>
    <font>
      <name val="FreeSans"/>
      <b val="1"/>
      <color rgb="FFB45309"/>
      <sz val="12"/>
    </font>
    <font>
      <name val="FreeSans"/>
      <b val="1"/>
      <color rgb="FF0F766E"/>
      <sz val="10"/>
    </font>
    <font>
      <name val="Calibri"/>
      <b val="1"/>
      <color rgb="FF0F766E"/>
      <sz val="10"/>
    </font>
    <font>
      <name val="Calibri"/>
      <b val="1"/>
      <color rgb="FFD97706"/>
      <sz val="11"/>
    </font>
    <font>
      <name val="FreeSans"/>
      <b val="1"/>
      <color rgb="FF1F2937"/>
      <sz val="10"/>
    </font>
    <font>
      <name val="Calibri"/>
      <b val="1"/>
      <color rgb="FFFFFFFF"/>
      <sz val="10"/>
    </font>
    <font>
      <name val="FreeSans"/>
      <b val="1"/>
      <color rgb="FFFFFFFF"/>
      <sz val="18"/>
    </font>
    <font>
      <name val="FreeSans"/>
      <b val="1"/>
      <color rgb="FFFFFFFF"/>
      <sz val="11"/>
    </font>
    <font>
      <name val="Calibri"/>
      <b val="1"/>
      <color rgb="FF0F766E"/>
      <sz val="11"/>
    </font>
    <font>
      <name val="Arial"/>
      <color rgb="FFFFFFFF"/>
      <sz val="9"/>
    </font>
    <font>
      <name val="Calibri"/>
      <sz val="10"/>
    </font>
    <font>
      <name val="FreeSans"/>
      <color rgb="FF1F2937"/>
      <sz val="10"/>
    </font>
    <font>
      <name val="FreeSans"/>
      <color rgb="FF6B7280"/>
      <sz val="8"/>
    </font>
  </fonts>
  <fills count="19">
    <fill>
      <patternFill/>
    </fill>
    <fill>
      <patternFill patternType="gray125"/>
    </fill>
    <fill>
      <patternFill patternType="solid">
        <fgColor rgb="FF0D1B2A"/>
      </patternFill>
    </fill>
    <fill>
      <patternFill patternType="solid">
        <fgColor rgb="FF1B3A6B"/>
      </patternFill>
    </fill>
    <fill>
      <patternFill patternType="solid">
        <fgColor rgb="FF0F766E"/>
      </patternFill>
    </fill>
    <fill>
      <patternFill patternType="solid">
        <fgColor rgb="FFB45309"/>
      </patternFill>
    </fill>
    <fill>
      <patternFill patternType="solid">
        <fgColor rgb="FF6D28D9"/>
      </patternFill>
    </fill>
    <fill>
      <patternFill patternType="solid">
        <fgColor rgb="FF1D4ED8"/>
      </patternFill>
    </fill>
    <fill>
      <patternFill patternType="solid">
        <fgColor rgb="FFD97706"/>
      </patternFill>
    </fill>
    <fill>
      <patternFill patternType="solid">
        <fgColor rgb="FF15803D"/>
      </patternFill>
    </fill>
    <fill>
      <patternFill patternType="solid">
        <fgColor rgb="FF1F2937"/>
      </patternFill>
    </fill>
    <fill>
      <patternFill patternType="solid">
        <fgColor rgb="FFFFFFFF"/>
      </patternFill>
    </fill>
    <fill>
      <patternFill patternType="solid">
        <fgColor rgb="FFFFFBEB"/>
      </patternFill>
    </fill>
    <fill>
      <patternFill patternType="solid">
        <fgColor rgb="FFF0FDFB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111827"/>
      </patternFill>
    </fill>
    <fill>
      <patternFill patternType="solid">
        <fgColor rgb="FFBE185D"/>
      </patternFill>
    </fill>
    <fill>
      <patternFill patternType="solid">
        <fgColor rgb="FFFEF3C7"/>
      </patternFill>
    </fill>
  </fills>
  <borders count="6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/>
      <right/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/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center" vertical="center" wrapText="1" readingOrder="2"/>
    </xf>
    <xf numFmtId="0" fontId="2" fillId="4" borderId="1" applyAlignment="1" pivotButton="0" quotePrefix="0" xfId="0">
      <alignment horizontal="center" vertical="center" wrapText="1" readingOrder="2"/>
    </xf>
    <xf numFmtId="0" fontId="2" fillId="5" borderId="1" applyAlignment="1" pivotButton="0" quotePrefix="0" xfId="0">
      <alignment horizontal="center" vertical="center" wrapText="1" readingOrder="2"/>
    </xf>
    <xf numFmtId="0" fontId="2" fillId="6" borderId="1" applyAlignment="1" pivotButton="0" quotePrefix="0" xfId="0">
      <alignment horizontal="center" vertical="center" wrapText="1" readingOrder="2"/>
    </xf>
    <xf numFmtId="0" fontId="2" fillId="7" borderId="1" applyAlignment="1" pivotButton="0" quotePrefix="0" xfId="0">
      <alignment horizontal="center" vertical="center" wrapText="1" readingOrder="2"/>
    </xf>
    <xf numFmtId="0" fontId="2" fillId="8" borderId="1" applyAlignment="1" pivotButton="0" quotePrefix="0" xfId="0">
      <alignment horizontal="center" vertical="center" wrapText="1" readingOrder="2"/>
    </xf>
    <xf numFmtId="0" fontId="2" fillId="9" borderId="1" applyAlignment="1" pivotButton="0" quotePrefix="0" xfId="0">
      <alignment horizontal="center" vertical="center" wrapText="1" readingOrder="2"/>
    </xf>
    <xf numFmtId="0" fontId="2" fillId="10" borderId="1" applyAlignment="1" pivotButton="0" quotePrefix="0" xfId="0">
      <alignment horizontal="center" vertical="center" wrapText="1" readingOrder="2"/>
    </xf>
    <xf numFmtId="0" fontId="3" fillId="11" borderId="1" applyAlignment="1" pivotButton="0" quotePrefix="0" xfId="0">
      <alignment horizontal="center" vertical="center" wrapText="1" readingOrder="2"/>
    </xf>
    <xf numFmtId="0" fontId="4" fillId="11" borderId="1" applyAlignment="1" pivotButton="0" quotePrefix="0" xfId="0">
      <alignment horizontal="right" vertical="center" readingOrder="2"/>
    </xf>
    <xf numFmtId="165" fontId="5" fillId="11" borderId="1" applyAlignment="1" pivotButton="0" quotePrefix="0" xfId="0">
      <alignment horizontal="center" vertical="center" readingOrder="2"/>
    </xf>
    <xf numFmtId="0" fontId="6" fillId="12" borderId="1" applyAlignment="1" pivotButton="0" quotePrefix="0" xfId="0">
      <alignment horizontal="center" vertical="center" wrapText="1" readingOrder="2"/>
    </xf>
    <xf numFmtId="0" fontId="7" fillId="13" borderId="1" applyAlignment="1" pivotButton="0" quotePrefix="0" xfId="0">
      <alignment horizontal="center" vertical="center" wrapText="1" readingOrder="2"/>
    </xf>
    <xf numFmtId="165" fontId="5" fillId="11" borderId="1" applyAlignment="1" pivotButton="0" quotePrefix="0" xfId="0">
      <alignment horizontal="center" vertical="center" wrapText="1" readingOrder="2"/>
    </xf>
    <xf numFmtId="164" fontId="8" fillId="13" borderId="1" applyAlignment="1" pivotButton="0" quotePrefix="0" xfId="0">
      <alignment horizontal="center" vertical="center" wrapText="1" readingOrder="2"/>
    </xf>
    <xf numFmtId="164" fontId="9" fillId="12" borderId="1" applyAlignment="1" pivotButton="0" quotePrefix="0" xfId="0">
      <alignment horizontal="center" vertical="center" wrapText="1" readingOrder="2"/>
    </xf>
    <xf numFmtId="0" fontId="10" fillId="14" borderId="1" applyAlignment="1" pivotButton="0" quotePrefix="0" xfId="0">
      <alignment horizontal="center" vertical="center" wrapText="1" readingOrder="2"/>
    </xf>
    <xf numFmtId="0" fontId="11" fillId="10" borderId="1" applyAlignment="1" pivotButton="0" quotePrefix="0" xfId="0">
      <alignment horizontal="center" vertical="center" wrapText="1" readingOrder="2"/>
    </xf>
    <xf numFmtId="0" fontId="12" fillId="2" borderId="0" applyAlignment="1" pivotButton="0" quotePrefix="0" xfId="0">
      <alignment horizontal="center" vertical="center" wrapText="1" readingOrder="2"/>
    </xf>
    <xf numFmtId="0" fontId="13" fillId="4" borderId="1" applyAlignment="1" pivotButton="0" quotePrefix="0" xfId="0">
      <alignment horizontal="center" vertical="center" wrapText="1" readingOrder="2"/>
    </xf>
    <xf numFmtId="0" fontId="13" fillId="3" borderId="1" applyAlignment="1" pivotButton="0" quotePrefix="0" xfId="0">
      <alignment horizontal="center" vertical="center" wrapText="1" readingOrder="2"/>
    </xf>
    <xf numFmtId="0" fontId="13" fillId="6" borderId="1" applyAlignment="1" pivotButton="0" quotePrefix="0" xfId="0">
      <alignment horizontal="center" vertical="center" wrapText="1" readingOrder="2"/>
    </xf>
    <xf numFmtId="0" fontId="13" fillId="9" borderId="1" applyAlignment="1" pivotButton="0" quotePrefix="0" xfId="0">
      <alignment horizontal="center" vertical="center" wrapText="1" readingOrder="2"/>
    </xf>
    <xf numFmtId="0" fontId="10" fillId="15" borderId="1" applyAlignment="1" pivotButton="0" quotePrefix="0" xfId="0">
      <alignment horizontal="right" vertical="center" wrapText="1" readingOrder="2"/>
    </xf>
    <xf numFmtId="164" fontId="14" fillId="13" borderId="1" applyAlignment="1" pivotButton="0" quotePrefix="0" xfId="0">
      <alignment horizontal="center" vertical="center" readingOrder="2"/>
    </xf>
    <xf numFmtId="1" fontId="14" fillId="13" borderId="1" applyAlignment="1" pivotButton="0" quotePrefix="0" xfId="0">
      <alignment horizontal="center" vertical="center" readingOrder="2"/>
    </xf>
    <xf numFmtId="0" fontId="14" fillId="13" borderId="1" applyAlignment="1" pivotButton="0" quotePrefix="0" xfId="0">
      <alignment horizontal="center" vertical="center" readingOrder="2"/>
    </xf>
    <xf numFmtId="164" fontId="0" fillId="0" borderId="0" pivotButton="0" quotePrefix="0" xfId="0"/>
    <xf numFmtId="0" fontId="15" fillId="16" borderId="0" applyAlignment="1" pivotButton="0" quotePrefix="0" xfId="0">
      <alignment horizontal="center" vertical="center" wrapText="1" readingOrder="2"/>
    </xf>
    <xf numFmtId="0" fontId="16" fillId="11" borderId="1" applyAlignment="1" pivotButton="0" quotePrefix="0" xfId="0">
      <alignment horizontal="center" vertical="center" readingOrder="2"/>
    </xf>
    <xf numFmtId="0" fontId="17" fillId="11" borderId="1" applyAlignment="1" pivotButton="0" quotePrefix="0" xfId="0">
      <alignment horizontal="right" vertical="center" readingOrder="2"/>
    </xf>
    <xf numFmtId="164" fontId="16" fillId="11" borderId="1" applyAlignment="1" pivotButton="0" quotePrefix="0" xfId="0">
      <alignment horizontal="center" vertical="center" readingOrder="2"/>
    </xf>
    <xf numFmtId="0" fontId="17" fillId="11" borderId="1" applyAlignment="1" pivotButton="0" quotePrefix="0" xfId="0">
      <alignment horizontal="right" vertical="center" wrapText="1" readingOrder="2"/>
    </xf>
    <xf numFmtId="165" fontId="16" fillId="11" borderId="1" applyAlignment="1" pivotButton="0" quotePrefix="0" xfId="0">
      <alignment horizontal="center" vertical="center" readingOrder="2"/>
    </xf>
    <xf numFmtId="0" fontId="1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3" fillId="17" borderId="1" applyAlignment="1" pivotButton="0" quotePrefix="0" xfId="0">
      <alignment horizontal="center" vertical="center" wrapText="1" readingOrder="2"/>
    </xf>
    <xf numFmtId="0" fontId="10" fillId="18" borderId="1" applyAlignment="1" pivotButton="0" quotePrefix="0" xfId="0">
      <alignment horizontal="center" vertical="center" wrapText="1" readingOrder="2"/>
    </xf>
    <xf numFmtId="0" fontId="17" fillId="11" borderId="1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">
    <dxf>
      <font>
        <name val="FreeSans"/>
        <b val="1"/>
        <color rgb="FFDC2626"/>
        <sz val="14"/>
      </font>
      <fill>
        <patternFill patternType="solid">
          <fgColor rgb="FF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02"/>
  <sheetViews>
    <sheetView showGridLines="0"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6" customWidth="1" min="3" max="3"/>
    <col width="12" customWidth="1" min="4" max="4"/>
    <col width="5" customWidth="1" min="5" max="5"/>
    <col width="5" customWidth="1" min="6" max="6"/>
    <col width="8" customWidth="1" min="7" max="7"/>
    <col width="6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8" customWidth="1" min="17" max="17"/>
    <col width="4" customWidth="1" min="18" max="18"/>
    <col width="5" customWidth="1" min="19" max="19"/>
    <col width="5" customWidth="1" min="20" max="20"/>
    <col width="5" customWidth="1" min="21" max="21"/>
    <col width="5" customWidth="1" min="22" max="22"/>
    <col width="6" customWidth="1" min="23" max="23"/>
    <col width="12" customWidth="1" min="24" max="24"/>
    <col width="12" customWidth="1" min="25" max="25"/>
    <col width="12" customWidth="1" min="26" max="26"/>
    <col width="6" customWidth="1" min="27" max="27"/>
    <col width="6" customWidth="1" min="28" max="28"/>
    <col width="6" customWidth="1" min="29" max="29"/>
    <col width="6" customWidth="1" min="30" max="30"/>
    <col width="12" customWidth="1" min="31" max="31"/>
    <col width="10" customWidth="1" min="32" max="32"/>
    <col width="10" customWidth="1" min="33" max="33"/>
    <col width="10" customWidth="1" min="34" max="34"/>
    <col width="12" customWidth="1" min="35" max="35"/>
    <col width="22" customWidth="1" min="36" max="36"/>
    <col width="8" customWidth="1" min="37" max="37"/>
    <col width="8" customWidth="1" min="38" max="38"/>
    <col width="8" customWidth="1" min="39" max="39"/>
    <col width="6" customWidth="1" min="40" max="40"/>
    <col width="16" customWidth="1" min="41" max="41"/>
    <col width="7" customWidth="1" min="42" max="42"/>
    <col width="7" customWidth="1" min="43" max="43"/>
    <col width="7" customWidth="1" min="44" max="44"/>
    <col width="7" customWidth="1" min="45" max="45"/>
    <col width="12" customWidth="1" min="46" max="46"/>
    <col width="9" customWidth="1" min="47" max="47"/>
  </cols>
  <sheetData>
    <row r="1" ht="51.75" customHeight="1">
      <c r="A1" s="1" t="inlineStr">
        <is>
          <t xml:space="preserve">   نظام إدارة اشتراكات  —  نادي RCS   </t>
        </is>
      </c>
    </row>
    <row r="2" ht="42" customHeight="1">
      <c r="A2" s="2" t="inlineStr">
        <is>
          <t>رقم
الملف</t>
        </is>
      </c>
      <c r="B2" s="2" t="inlineStr">
        <is>
          <t>اللقب</t>
        </is>
      </c>
      <c r="C2" s="2" t="inlineStr">
        <is>
          <t>الاسم</t>
        </is>
      </c>
      <c r="D2" s="3" t="inlineStr">
        <is>
          <t>تاريخ
الميلاد</t>
        </is>
      </c>
      <c r="E2" s="4" t="inlineStr">
        <is>
          <t>ذكر</t>
        </is>
      </c>
      <c r="F2" s="4" t="inlineStr">
        <is>
          <t>أنثى</t>
        </is>
      </c>
      <c r="G2" s="3" t="inlineStr">
        <is>
          <t>الجنس</t>
        </is>
      </c>
      <c r="H2" s="3" t="inlineStr">
        <is>
          <t>العمر</t>
        </is>
      </c>
      <c r="I2" s="4" t="inlineStr">
        <is>
          <t>A+</t>
        </is>
      </c>
      <c r="J2" s="4" t="inlineStr">
        <is>
          <t>A-</t>
        </is>
      </c>
      <c r="K2" s="4" t="inlineStr">
        <is>
          <t>B+</t>
        </is>
      </c>
      <c r="L2" s="4" t="inlineStr">
        <is>
          <t>B-</t>
        </is>
      </c>
      <c r="M2" s="4" t="inlineStr">
        <is>
          <t>O+</t>
        </is>
      </c>
      <c r="N2" s="4" t="inlineStr">
        <is>
          <t>O-</t>
        </is>
      </c>
      <c r="O2" s="4" t="inlineStr">
        <is>
          <t>AB+</t>
        </is>
      </c>
      <c r="P2" s="4" t="inlineStr">
        <is>
          <t>AB-</t>
        </is>
      </c>
      <c r="Q2" s="5" t="inlineStr">
        <is>
          <t>فصيلة
الدم</t>
        </is>
      </c>
      <c r="R2" s="4" t="inlineStr">
        <is>
          <t>/</t>
        </is>
      </c>
      <c r="S2" s="4" t="inlineStr">
        <is>
          <t>OPOW</t>
        </is>
      </c>
      <c r="T2" s="4" t="inlineStr">
        <is>
          <t>DJS</t>
        </is>
      </c>
      <c r="U2" s="4" t="inlineStr">
        <is>
          <t>FCS</t>
        </is>
      </c>
      <c r="V2" s="4" t="inlineStr">
        <is>
          <t>RCS</t>
        </is>
      </c>
      <c r="W2" s="4" t="inlineStr">
        <is>
          <t>POLICE</t>
        </is>
      </c>
      <c r="X2" s="2" t="inlineStr">
        <is>
          <t>نوع
الاشتراك</t>
        </is>
      </c>
      <c r="Y2" s="6" t="inlineStr">
        <is>
          <t>تاريخ
آخر دفعة</t>
        </is>
      </c>
      <c r="Z2" s="6" t="inlineStr">
        <is>
          <t>تاريخ
الانتهاء</t>
        </is>
      </c>
      <c r="AA2" s="4" t="inlineStr">
        <is>
          <t>مدفوع</t>
        </is>
      </c>
      <c r="AB2" s="4" t="inlineStr">
        <is>
          <t>لم
يدفع</t>
        </is>
      </c>
      <c r="AC2" s="4" t="inlineStr">
        <is>
          <t>تأمين
فقط</t>
        </is>
      </c>
      <c r="AD2" s="4" t="inlineStr">
        <is>
          <t>اشتراك
300</t>
        </is>
      </c>
      <c r="AE2" s="6" t="inlineStr">
        <is>
          <t>حالة
الدفع</t>
        </is>
      </c>
      <c r="AF2" s="3" t="inlineStr">
        <is>
          <t>رسوم
الاشتراك</t>
        </is>
      </c>
      <c r="AG2" s="3" t="inlineStr">
        <is>
          <t>مصاريف
التأمين</t>
        </is>
      </c>
      <c r="AH2" s="3" t="inlineStr">
        <is>
          <t>حقوق
المركب</t>
        </is>
      </c>
      <c r="AI2" s="7" t="inlineStr">
        <is>
          <t>المبلغ
الإجمالي</t>
        </is>
      </c>
      <c r="AJ2" s="8" t="inlineStr">
        <is>
          <t>حالة
التجديد</t>
        </is>
      </c>
      <c r="AK2" s="4" t="inlineStr">
        <is>
          <t>الأحد
والأربعاء</t>
        </is>
      </c>
      <c r="AL2" s="4" t="inlineStr">
        <is>
          <t>الاثنين
والخميس</t>
        </is>
      </c>
      <c r="AM2" s="4" t="inlineStr">
        <is>
          <t>الثلاثاء
والجمعة</t>
        </is>
      </c>
      <c r="AN2" s="4" t="inlineStr">
        <is>
          <t>كل
الأيام</t>
        </is>
      </c>
      <c r="AO2" s="5" t="inlineStr">
        <is>
          <t>أيام
السباحة</t>
        </is>
      </c>
      <c r="AP2" s="4" t="inlineStr">
        <is>
          <t>09:00
10:00</t>
        </is>
      </c>
      <c r="AQ2" s="4" t="inlineStr">
        <is>
          <t>10:00
11:00</t>
        </is>
      </c>
      <c r="AR2" s="4" t="inlineStr">
        <is>
          <t>19:00
20:00</t>
        </is>
      </c>
      <c r="AS2" s="4" t="inlineStr">
        <is>
          <t>20:00
21:00</t>
        </is>
      </c>
      <c r="AT2" s="5" t="inlineStr">
        <is>
          <t>التوقيت</t>
        </is>
      </c>
      <c r="AU2" s="9" t="inlineStr">
        <is>
          <t>عدد أشهر
الاشتراك</t>
        </is>
      </c>
    </row>
    <row r="3" ht="22" customHeight="1">
      <c r="A3" s="10">
        <f>IF(B3="","","RCS "&amp;TEXT(ROW()-2,"000"))</f>
        <v/>
      </c>
      <c r="B3" s="11" t="n"/>
      <c r="C3" s="11" t="n"/>
      <c r="D3" s="12" t="n"/>
      <c r="E3" s="13" t="n"/>
      <c r="F3" s="13" t="n"/>
      <c r="G3" s="14">
        <f>IF(B3="","",IF(E3&lt;&gt;"","ذكر",IF(F3&lt;&gt;"","أنثى","")))</f>
        <v/>
      </c>
      <c r="H3" s="14">
        <f>IF(D3="","",DATEDIF(D3,TODAY(),"Y"))</f>
        <v/>
      </c>
      <c r="I3" s="13" t="n"/>
      <c r="J3" s="13" t="n"/>
      <c r="K3" s="13" t="n"/>
      <c r="L3" s="13" t="n"/>
      <c r="M3" s="13" t="n"/>
      <c r="N3" s="13" t="n"/>
      <c r="O3" s="13" t="n"/>
      <c r="P3" s="13" t="n"/>
      <c r="Q3" s="14">
        <f>IF(B3="","",IF(I3&lt;&gt;"","A+",IF(J3&lt;&gt;"","A-",IF(K3&lt;&gt;"","B+",IF(L3&lt;&gt;"","B-",IF(M3&lt;&gt;"","O+",IF(N3&lt;&gt;"","O-",IF(O3&lt;&gt;"","AB+",IF(P3&lt;&gt;"","AB-",""))))))))</f>
        <v/>
      </c>
      <c r="R3" s="13" t="n"/>
      <c r="S3" s="13" t="n"/>
      <c r="T3" s="13" t="n"/>
      <c r="U3" s="13" t="n"/>
      <c r="V3" s="13" t="n"/>
      <c r="W3" s="13" t="n"/>
      <c r="X3" s="14">
        <f>IF(B3="","",IF(R3&lt;&gt;"","/",IF(S3&lt;&gt;"","OPOW",IF(T3&lt;&gt;"","DJS",IF(U3&lt;&gt;"","FCS",IF(V3&lt;&gt;"","RCS",IF(W3&lt;&gt;"","POLICE","")))))))</f>
        <v/>
      </c>
      <c r="Y3" s="12" t="n"/>
      <c r="Z3" s="15">
        <f>IF(Y3="","",Y3+30)</f>
        <v/>
      </c>
      <c r="AA3" s="13" t="n"/>
      <c r="AB3" s="13" t="n"/>
      <c r="AC3" s="13" t="n"/>
      <c r="AD3" s="13" t="n"/>
      <c r="AE3" s="14">
        <f>IF(B3="","",IF(AA3&lt;&gt;"","مدفوع",IF(AB3&lt;&gt;"","لم يدفع",IF(AC3&lt;&gt;"","تأمين فقط",IF(AD3&lt;&gt;"","اشتراك 300","")))))</f>
        <v/>
      </c>
      <c r="AF3" s="16">
        <f>IF(OR(AE3="لم يدفع",B3=""),"",IF(OR(AE3="تأمين فقط",X3="FCS",X3="RCS"),0,IF(OR(AE3="اشتراك 300",X3="POLICE",X3="OPOW",X3="DJS"),300,IF(H3&lt;14,1300,1500))))</f>
        <v/>
      </c>
      <c r="AG3" s="16">
        <f>IF(OR(AE3="لم يدفع",B3=""),"",500)</f>
        <v/>
      </c>
      <c r="AH3" s="16">
        <f>IF(OR(AE3="لم يدفع",AE3="تأمين فقط",AE3="اشتراك 300",X3="OPOW",X3="DJS",X3="FCS",X3="RCS",X3="POLICE",B3=""),"",1000)</f>
        <v/>
      </c>
      <c r="AI3" s="17">
        <f>IF(AE3="لم يدفع","",IF(AF3="","",AF3+AG3))</f>
        <v/>
      </c>
      <c r="AJ3" s="18">
        <f>IF(B3="","",IF(AE3="لم يدفع","🔒 مجمدة",IF(Z3="","",IF(Z3&lt;TODAY(),"⛔ منتهي - يتطلب تجديد",IF(Z3-5&lt;=TODAY(),"⚠️ قريب الانتهاء","✅ ساري")))))</f>
        <v/>
      </c>
      <c r="AK3" s="13" t="n"/>
      <c r="AL3" s="13" t="n"/>
      <c r="AM3" s="13" t="n"/>
      <c r="AN3" s="13" t="n"/>
      <c r="AO3" s="14">
        <f>IF(B3="","",IF(AK3&lt;&gt;"","الأحد والأربعاء",IF(AL3&lt;&gt;"","الاثنين والخميس",IF(AM3&lt;&gt;"","الثلاثاء والجمعة",IF(AN3&lt;&gt;"","كل الأيام","")))))</f>
        <v/>
      </c>
      <c r="AP3" s="13" t="n"/>
      <c r="AQ3" s="13" t="n"/>
      <c r="AR3" s="13" t="n"/>
      <c r="AS3" s="13" t="n"/>
      <c r="AT3" s="14">
        <f>IF(B3="","",IF(AP3&lt;&gt;"","09:00-10:00",IF(AQ3&lt;&gt;"","10:00-11:00",IF(AR3&lt;&gt;"","19:00-20:00",IF(AS3&lt;&gt;"","20:00-21:00","")))))</f>
        <v/>
      </c>
      <c r="AU3" s="19">
        <f>IF(B3="","",COUNTA(التجديد!E3:E3))</f>
        <v/>
      </c>
    </row>
    <row r="4" ht="22" customHeight="1">
      <c r="A4" s="10">
        <f>IF(B4="","","RCS "&amp;TEXT(ROW()-2,"000"))</f>
        <v/>
      </c>
      <c r="B4" s="11" t="n"/>
      <c r="C4" s="11" t="n"/>
      <c r="D4" s="12" t="n"/>
      <c r="E4" s="13" t="n"/>
      <c r="F4" s="13" t="n"/>
      <c r="G4" s="14">
        <f>IF(B4="","",IF(E4&lt;&gt;"","ذكر",IF(F4&lt;&gt;"","أنثى","")))</f>
        <v/>
      </c>
      <c r="H4" s="14">
        <f>IF(D4="","",DATEDIF(D4,TODAY(),"Y"))</f>
        <v/>
      </c>
      <c r="I4" s="13" t="n"/>
      <c r="J4" s="13" t="n"/>
      <c r="K4" s="13" t="n"/>
      <c r="L4" s="13" t="n"/>
      <c r="M4" s="13" t="n"/>
      <c r="N4" s="13" t="n"/>
      <c r="O4" s="13" t="n"/>
      <c r="P4" s="13" t="n"/>
      <c r="Q4" s="14">
        <f>IF(B4="","",IF(I4&lt;&gt;"","A+",IF(J4&lt;&gt;"","A-",IF(K4&lt;&gt;"","B+",IF(L4&lt;&gt;"","B-",IF(M4&lt;&gt;"","O+",IF(N4&lt;&gt;"","O-",IF(O4&lt;&gt;"","AB+",IF(P4&lt;&gt;"","AB-",""))))))))</f>
        <v/>
      </c>
      <c r="R4" s="13" t="n"/>
      <c r="S4" s="13" t="n"/>
      <c r="T4" s="13" t="n"/>
      <c r="U4" s="13" t="n"/>
      <c r="V4" s="13" t="n"/>
      <c r="W4" s="13" t="n"/>
      <c r="X4" s="14">
        <f>IF(B4="","",IF(R4&lt;&gt;"","/",IF(S4&lt;&gt;"","OPOW",IF(T4&lt;&gt;"","DJS",IF(U4&lt;&gt;"","FCS",IF(V4&lt;&gt;"","RCS",IF(W4&lt;&gt;"","POLICE","")))))))</f>
        <v/>
      </c>
      <c r="Y4" s="12" t="n"/>
      <c r="Z4" s="15">
        <f>IF(Y4="","",Y4+30)</f>
        <v/>
      </c>
      <c r="AA4" s="13" t="n"/>
      <c r="AB4" s="13" t="n"/>
      <c r="AC4" s="13" t="n"/>
      <c r="AD4" s="13" t="n"/>
      <c r="AE4" s="14">
        <f>IF(B4="","",IF(AA4&lt;&gt;"","مدفوع",IF(AB4&lt;&gt;"","لم يدفع",IF(AC4&lt;&gt;"","تأمين فقط",IF(AD4&lt;&gt;"","اشتراك 300","")))))</f>
        <v/>
      </c>
      <c r="AF4" s="16">
        <f>IF(OR(AE4="لم يدفع",B4=""),"",IF(OR(AE4="تأمين فقط",X4="FCS",X4="RCS"),0,IF(OR(AE4="اشتراك 300",X4="POLICE",X4="OPOW",X4="DJS"),300,IF(H4&lt;14,1300,1500))))</f>
        <v/>
      </c>
      <c r="AG4" s="16">
        <f>IF(OR(AE4="لم يدفع",B4=""),"",500)</f>
        <v/>
      </c>
      <c r="AH4" s="16">
        <f>IF(OR(AE4="لم يدفع",AE4="تأمين فقط",AE4="اشتراك 300",X4="OPOW",X4="DJS",X4="FCS",X4="RCS",X4="POLICE",B4=""),"",1000)</f>
        <v/>
      </c>
      <c r="AI4" s="17">
        <f>IF(AE4="لم يدفع","",IF(AF4="","",AF4+AG4))</f>
        <v/>
      </c>
      <c r="AJ4" s="18">
        <f>IF(B4="","",IF(AE4="لم يدفع","🔒 مجمدة",IF(Z4="","",IF(Z4&lt;TODAY(),"⛔ منتهي - يتطلب تجديد",IF(Z4-5&lt;=TODAY(),"⚠️ قريب الانتهاء","✅ ساري")))))</f>
        <v/>
      </c>
      <c r="AK4" s="13" t="n"/>
      <c r="AL4" s="13" t="n"/>
      <c r="AM4" s="13" t="n"/>
      <c r="AN4" s="13" t="n"/>
      <c r="AO4" s="14">
        <f>IF(B4="","",IF(AK4&lt;&gt;"","الأحد والأربعاء",IF(AL4&lt;&gt;"","الاثنين والخميس",IF(AM4&lt;&gt;"","الثلاثاء والجمعة",IF(AN4&lt;&gt;"","كل الأيام","")))))</f>
        <v/>
      </c>
      <c r="AP4" s="13" t="n"/>
      <c r="AQ4" s="13" t="n"/>
      <c r="AR4" s="13" t="n"/>
      <c r="AS4" s="13" t="n"/>
      <c r="AT4" s="14">
        <f>IF(B4="","",IF(AP4&lt;&gt;"","09:00-10:00",IF(AQ4&lt;&gt;"","10:00-11:00",IF(AR4&lt;&gt;"","19:00-20:00",IF(AS4&lt;&gt;"","20:00-21:00","")))))</f>
        <v/>
      </c>
      <c r="AU4" s="19">
        <f>IF(B4="","",COUNTA(التجديد!E4:E4))</f>
        <v/>
      </c>
    </row>
    <row r="5" ht="22" customHeight="1">
      <c r="A5" s="10">
        <f>IF(B5="","","RCS "&amp;TEXT(ROW()-2,"000"))</f>
        <v/>
      </c>
      <c r="B5" s="11" t="n"/>
      <c r="C5" s="11" t="n"/>
      <c r="D5" s="12" t="n"/>
      <c r="E5" s="13" t="n"/>
      <c r="F5" s="13" t="n"/>
      <c r="G5" s="14">
        <f>IF(B5="","",IF(E5&lt;&gt;"","ذكر",IF(F5&lt;&gt;"","أنثى","")))</f>
        <v/>
      </c>
      <c r="H5" s="14">
        <f>IF(D5="","",DATEDIF(D5,TODAY(),"Y"))</f>
        <v/>
      </c>
      <c r="I5" s="13" t="n"/>
      <c r="J5" s="13" t="n"/>
      <c r="K5" s="13" t="n"/>
      <c r="L5" s="13" t="n"/>
      <c r="M5" s="13" t="n"/>
      <c r="N5" s="13" t="n"/>
      <c r="O5" s="13" t="n"/>
      <c r="P5" s="13" t="n"/>
      <c r="Q5" s="14">
        <f>IF(B5="","",IF(I5&lt;&gt;"","A+",IF(J5&lt;&gt;"","A-",IF(K5&lt;&gt;"","B+",IF(L5&lt;&gt;"","B-",IF(M5&lt;&gt;"","O+",IF(N5&lt;&gt;"","O-",IF(O5&lt;&gt;"","AB+",IF(P5&lt;&gt;"","AB-",""))))))))</f>
        <v/>
      </c>
      <c r="R5" s="13" t="n"/>
      <c r="S5" s="13" t="n"/>
      <c r="T5" s="13" t="n"/>
      <c r="U5" s="13" t="n"/>
      <c r="V5" s="13" t="n"/>
      <c r="W5" s="13" t="n"/>
      <c r="X5" s="14">
        <f>IF(B5="","",IF(R5&lt;&gt;"","/",IF(S5&lt;&gt;"","OPOW",IF(T5&lt;&gt;"","DJS",IF(U5&lt;&gt;"","FCS",IF(V5&lt;&gt;"","RCS",IF(W5&lt;&gt;"","POLICE","")))))))</f>
        <v/>
      </c>
      <c r="Y5" s="12" t="n"/>
      <c r="Z5" s="15">
        <f>IF(Y5="","",Y5+30)</f>
        <v/>
      </c>
      <c r="AA5" s="13" t="n"/>
      <c r="AB5" s="13" t="n"/>
      <c r="AC5" s="13" t="n"/>
      <c r="AD5" s="13" t="n"/>
      <c r="AE5" s="14">
        <f>IF(B5="","",IF(AA5&lt;&gt;"","مدفوع",IF(AB5&lt;&gt;"","لم يدفع",IF(AC5&lt;&gt;"","تأمين فقط",IF(AD5&lt;&gt;"","اشتراك 300","")))))</f>
        <v/>
      </c>
      <c r="AF5" s="16">
        <f>IF(OR(AE5="لم يدفع",B5=""),"",IF(OR(AE5="تأمين فقط",X5="FCS",X5="RCS"),0,IF(OR(AE5="اشتراك 300",X5="POLICE",X5="OPOW",X5="DJS"),300,IF(H5&lt;14,1300,1500))))</f>
        <v/>
      </c>
      <c r="AG5" s="16">
        <f>IF(OR(AE5="لم يدفع",B5=""),"",500)</f>
        <v/>
      </c>
      <c r="AH5" s="16">
        <f>IF(OR(AE5="لم يدفع",AE5="تأمين فقط",AE5="اشتراك 300",X5="OPOW",X5="DJS",X5="FCS",X5="RCS",X5="POLICE",B5=""),"",1000)</f>
        <v/>
      </c>
      <c r="AI5" s="17">
        <f>IF(AE5="لم يدفع","",IF(AF5="","",AF5+AG5))</f>
        <v/>
      </c>
      <c r="AJ5" s="18">
        <f>IF(B5="","",IF(AE5="لم يدفع","🔒 مجمدة",IF(Z5="","",IF(Z5&lt;TODAY(),"⛔ منتهي - يتطلب تجديد",IF(Z5-5&lt;=TODAY(),"⚠️ قريب الانتهاء","✅ ساري")))))</f>
        <v/>
      </c>
      <c r="AK5" s="13" t="n"/>
      <c r="AL5" s="13" t="n"/>
      <c r="AM5" s="13" t="n"/>
      <c r="AN5" s="13" t="n"/>
      <c r="AO5" s="14">
        <f>IF(B5="","",IF(AK5&lt;&gt;"","الأحد والأربعاء",IF(AL5&lt;&gt;"","الاثنين والخميس",IF(AM5&lt;&gt;"","الثلاثاء والجمعة",IF(AN5&lt;&gt;"","كل الأيام","")))))</f>
        <v/>
      </c>
      <c r="AP5" s="13" t="n"/>
      <c r="AQ5" s="13" t="n"/>
      <c r="AR5" s="13" t="n"/>
      <c r="AS5" s="13" t="n"/>
      <c r="AT5" s="14">
        <f>IF(B5="","",IF(AP5&lt;&gt;"","09:00-10:00",IF(AQ5&lt;&gt;"","10:00-11:00",IF(AR5&lt;&gt;"","19:00-20:00",IF(AS5&lt;&gt;"","20:00-21:00","")))))</f>
        <v/>
      </c>
      <c r="AU5" s="19">
        <f>IF(B5="","",COUNTA(التجديد!E5:E5))</f>
        <v/>
      </c>
    </row>
    <row r="6" ht="22" customHeight="1">
      <c r="A6" s="10">
        <f>IF(B6="","","RCS "&amp;TEXT(ROW()-2,"000"))</f>
        <v/>
      </c>
      <c r="B6" s="11" t="n"/>
      <c r="C6" s="11" t="n"/>
      <c r="D6" s="12" t="n"/>
      <c r="E6" s="13" t="n"/>
      <c r="F6" s="13" t="n"/>
      <c r="G6" s="14">
        <f>IF(B6="","",IF(E6&lt;&gt;"","ذكر",IF(F6&lt;&gt;"","أنثى","")))</f>
        <v/>
      </c>
      <c r="H6" s="14">
        <f>IF(D6="","",DATEDIF(D6,TODAY(),"Y"))</f>
        <v/>
      </c>
      <c r="I6" s="13" t="n"/>
      <c r="J6" s="13" t="n"/>
      <c r="K6" s="13" t="n"/>
      <c r="L6" s="13" t="n"/>
      <c r="M6" s="13" t="n"/>
      <c r="N6" s="13" t="n"/>
      <c r="O6" s="13" t="n"/>
      <c r="P6" s="13" t="n"/>
      <c r="Q6" s="14">
        <f>IF(B6="","",IF(I6&lt;&gt;"","A+",IF(J6&lt;&gt;"","A-",IF(K6&lt;&gt;"","B+",IF(L6&lt;&gt;"","B-",IF(M6&lt;&gt;"","O+",IF(N6&lt;&gt;"","O-",IF(O6&lt;&gt;"","AB+",IF(P6&lt;&gt;"","AB-",""))))))))</f>
        <v/>
      </c>
      <c r="R6" s="13" t="n"/>
      <c r="S6" s="13" t="n"/>
      <c r="T6" s="13" t="n"/>
      <c r="U6" s="13" t="n"/>
      <c r="V6" s="13" t="n"/>
      <c r="W6" s="13" t="n"/>
      <c r="X6" s="14">
        <f>IF(B6="","",IF(R6&lt;&gt;"","/",IF(S6&lt;&gt;"","OPOW",IF(T6&lt;&gt;"","DJS",IF(U6&lt;&gt;"","FCS",IF(V6&lt;&gt;"","RCS",IF(W6&lt;&gt;"","POLICE","")))))))</f>
        <v/>
      </c>
      <c r="Y6" s="12" t="n"/>
      <c r="Z6" s="15">
        <f>IF(Y6="","",Y6+30)</f>
        <v/>
      </c>
      <c r="AA6" s="13" t="n"/>
      <c r="AB6" s="13" t="n"/>
      <c r="AC6" s="13" t="n"/>
      <c r="AD6" s="13" t="n"/>
      <c r="AE6" s="14">
        <f>IF(B6="","",IF(AA6&lt;&gt;"","مدفوع",IF(AB6&lt;&gt;"","لم يدفع",IF(AC6&lt;&gt;"","تأمين فقط",IF(AD6&lt;&gt;"","اشتراك 300","")))))</f>
        <v/>
      </c>
      <c r="AF6" s="16">
        <f>IF(OR(AE6="لم يدفع",B6=""),"",IF(OR(AE6="تأمين فقط",X6="FCS",X6="RCS"),0,IF(OR(AE6="اشتراك 300",X6="POLICE",X6="OPOW",X6="DJS"),300,IF(H6&lt;14,1300,1500))))</f>
        <v/>
      </c>
      <c r="AG6" s="16">
        <f>IF(OR(AE6="لم يدفع",B6=""),"",500)</f>
        <v/>
      </c>
      <c r="AH6" s="16">
        <f>IF(OR(AE6="لم يدفع",AE6="تأمين فقط",AE6="اشتراك 300",X6="OPOW",X6="DJS",X6="FCS",X6="RCS",X6="POLICE",B6=""),"",1000)</f>
        <v/>
      </c>
      <c r="AI6" s="17">
        <f>IF(AE6="لم يدفع","",IF(AF6="","",AF6+AG6))</f>
        <v/>
      </c>
      <c r="AJ6" s="18">
        <f>IF(B6="","",IF(AE6="لم يدفع","🔒 مجمدة",IF(Z6="","",IF(Z6&lt;TODAY(),"⛔ منتهي - يتطلب تجديد",IF(Z6-5&lt;=TODAY(),"⚠️ قريب الانتهاء","✅ ساري")))))</f>
        <v/>
      </c>
      <c r="AK6" s="13" t="n"/>
      <c r="AL6" s="13" t="n"/>
      <c r="AM6" s="13" t="n"/>
      <c r="AN6" s="13" t="n"/>
      <c r="AO6" s="14">
        <f>IF(B6="","",IF(AK6&lt;&gt;"","الأحد والأربعاء",IF(AL6&lt;&gt;"","الاثنين والخميس",IF(AM6&lt;&gt;"","الثلاثاء والجمعة",IF(AN6&lt;&gt;"","كل الأيام","")))))</f>
        <v/>
      </c>
      <c r="AP6" s="13" t="n"/>
      <c r="AQ6" s="13" t="n"/>
      <c r="AR6" s="13" t="n"/>
      <c r="AS6" s="13" t="n"/>
      <c r="AT6" s="14">
        <f>IF(B6="","",IF(AP6&lt;&gt;"","09:00-10:00",IF(AQ6&lt;&gt;"","10:00-11:00",IF(AR6&lt;&gt;"","19:00-20:00",IF(AS6&lt;&gt;"","20:00-21:00","")))))</f>
        <v/>
      </c>
      <c r="AU6" s="19">
        <f>IF(B6="","",COUNTA(التجديد!E6:E6))</f>
        <v/>
      </c>
    </row>
    <row r="7" ht="22" customHeight="1">
      <c r="A7" s="10">
        <f>IF(B7="","","RCS "&amp;TEXT(ROW()-2,"000"))</f>
        <v/>
      </c>
      <c r="B7" s="11" t="n"/>
      <c r="C7" s="11" t="n"/>
      <c r="D7" s="12" t="n"/>
      <c r="E7" s="13" t="n"/>
      <c r="F7" s="13" t="n"/>
      <c r="G7" s="14">
        <f>IF(B7="","",IF(E7&lt;&gt;"","ذكر",IF(F7&lt;&gt;"","أنثى","")))</f>
        <v/>
      </c>
      <c r="H7" s="14">
        <f>IF(D7="","",DATEDIF(D7,TODAY(),"Y"))</f>
        <v/>
      </c>
      <c r="I7" s="13" t="n"/>
      <c r="J7" s="13" t="n"/>
      <c r="K7" s="13" t="n"/>
      <c r="L7" s="13" t="n"/>
      <c r="M7" s="13" t="n"/>
      <c r="N7" s="13" t="n"/>
      <c r="O7" s="13" t="n"/>
      <c r="P7" s="13" t="n"/>
      <c r="Q7" s="14">
        <f>IF(B7="","",IF(I7&lt;&gt;"","A+",IF(J7&lt;&gt;"","A-",IF(K7&lt;&gt;"","B+",IF(L7&lt;&gt;"","B-",IF(M7&lt;&gt;"","O+",IF(N7&lt;&gt;"","O-",IF(O7&lt;&gt;"","AB+",IF(P7&lt;&gt;"","AB-",""))))))))</f>
        <v/>
      </c>
      <c r="R7" s="13" t="n"/>
      <c r="S7" s="13" t="n"/>
      <c r="T7" s="13" t="n"/>
      <c r="U7" s="13" t="n"/>
      <c r="V7" s="13" t="n"/>
      <c r="W7" s="13" t="n"/>
      <c r="X7" s="14">
        <f>IF(B7="","",IF(R7&lt;&gt;"","/",IF(S7&lt;&gt;"","OPOW",IF(T7&lt;&gt;"","DJS",IF(U7&lt;&gt;"","FCS",IF(V7&lt;&gt;"","RCS",IF(W7&lt;&gt;"","POLICE","")))))))</f>
        <v/>
      </c>
      <c r="Y7" s="12" t="n"/>
      <c r="Z7" s="15">
        <f>IF(Y7="","",Y7+30)</f>
        <v/>
      </c>
      <c r="AA7" s="13" t="n"/>
      <c r="AB7" s="13" t="n"/>
      <c r="AC7" s="13" t="n"/>
      <c r="AD7" s="13" t="n"/>
      <c r="AE7" s="14">
        <f>IF(B7="","",IF(AA7&lt;&gt;"","مدفوع",IF(AB7&lt;&gt;"","لم يدفع",IF(AC7&lt;&gt;"","تأمين فقط",IF(AD7&lt;&gt;"","اشتراك 300","")))))</f>
        <v/>
      </c>
      <c r="AF7" s="16">
        <f>IF(OR(AE7="لم يدفع",B7=""),"",IF(OR(AE7="تأمين فقط",X7="FCS",X7="RCS"),0,IF(OR(AE7="اشتراك 300",X7="POLICE",X7="OPOW",X7="DJS"),300,IF(H7&lt;14,1300,1500))))</f>
        <v/>
      </c>
      <c r="AG7" s="16">
        <f>IF(OR(AE7="لم يدفع",B7=""),"",500)</f>
        <v/>
      </c>
      <c r="AH7" s="16">
        <f>IF(OR(AE7="لم يدفع",AE7="تأمين فقط",AE7="اشتراك 300",X7="OPOW",X7="DJS",X7="FCS",X7="RCS",X7="POLICE",B7=""),"",1000)</f>
        <v/>
      </c>
      <c r="AI7" s="17">
        <f>IF(AE7="لم يدفع","",IF(AF7="","",AF7+AG7))</f>
        <v/>
      </c>
      <c r="AJ7" s="18">
        <f>IF(B7="","",IF(AE7="لم يدفع","🔒 مجمدة",IF(Z7="","",IF(Z7&lt;TODAY(),"⛔ منتهي - يتطلب تجديد",IF(Z7-5&lt;=TODAY(),"⚠️ قريب الانتهاء","✅ ساري")))))</f>
        <v/>
      </c>
      <c r="AK7" s="13" t="n"/>
      <c r="AL7" s="13" t="n"/>
      <c r="AM7" s="13" t="n"/>
      <c r="AN7" s="13" t="n"/>
      <c r="AO7" s="14">
        <f>IF(B7="","",IF(AK7&lt;&gt;"","الأحد والأربعاء",IF(AL7&lt;&gt;"","الاثنين والخميس",IF(AM7&lt;&gt;"","الثلاثاء والجمعة",IF(AN7&lt;&gt;"","كل الأيام","")))))</f>
        <v/>
      </c>
      <c r="AP7" s="13" t="n"/>
      <c r="AQ7" s="13" t="n"/>
      <c r="AR7" s="13" t="n"/>
      <c r="AS7" s="13" t="n"/>
      <c r="AT7" s="14">
        <f>IF(B7="","",IF(AP7&lt;&gt;"","09:00-10:00",IF(AQ7&lt;&gt;"","10:00-11:00",IF(AR7&lt;&gt;"","19:00-20:00",IF(AS7&lt;&gt;"","20:00-21:00","")))))</f>
        <v/>
      </c>
      <c r="AU7" s="19">
        <f>IF(B7="","",COUNTA(التجديد!E7:E7))</f>
        <v/>
      </c>
    </row>
    <row r="8" ht="22" customHeight="1">
      <c r="A8" s="10">
        <f>IF(B8="","","RCS "&amp;TEXT(ROW()-2,"000"))</f>
        <v/>
      </c>
      <c r="B8" s="11" t="n"/>
      <c r="C8" s="11" t="n"/>
      <c r="D8" s="12" t="n"/>
      <c r="E8" s="13" t="n"/>
      <c r="F8" s="13" t="n"/>
      <c r="G8" s="14">
        <f>IF(B8="","",IF(E8&lt;&gt;"","ذكر",IF(F8&lt;&gt;"","أنثى","")))</f>
        <v/>
      </c>
      <c r="H8" s="14">
        <f>IF(D8="","",DATEDIF(D8,TODAY(),"Y"))</f>
        <v/>
      </c>
      <c r="I8" s="13" t="n"/>
      <c r="J8" s="13" t="n"/>
      <c r="K8" s="13" t="n"/>
      <c r="L8" s="13" t="n"/>
      <c r="M8" s="13" t="n"/>
      <c r="N8" s="13" t="n"/>
      <c r="O8" s="13" t="n"/>
      <c r="P8" s="13" t="n"/>
      <c r="Q8" s="14">
        <f>IF(B8="","",IF(I8&lt;&gt;"","A+",IF(J8&lt;&gt;"","A-",IF(K8&lt;&gt;"","B+",IF(L8&lt;&gt;"","B-",IF(M8&lt;&gt;"","O+",IF(N8&lt;&gt;"","O-",IF(O8&lt;&gt;"","AB+",IF(P8&lt;&gt;"","AB-",""))))))))</f>
        <v/>
      </c>
      <c r="R8" s="13" t="n"/>
      <c r="S8" s="13" t="n"/>
      <c r="T8" s="13" t="n"/>
      <c r="U8" s="13" t="n"/>
      <c r="V8" s="13" t="n"/>
      <c r="W8" s="13" t="n"/>
      <c r="X8" s="14">
        <f>IF(B8="","",IF(R8&lt;&gt;"","/",IF(S8&lt;&gt;"","OPOW",IF(T8&lt;&gt;"","DJS",IF(U8&lt;&gt;"","FCS",IF(V8&lt;&gt;"","RCS",IF(W8&lt;&gt;"","POLICE","")))))))</f>
        <v/>
      </c>
      <c r="Y8" s="12" t="n"/>
      <c r="Z8" s="15">
        <f>IF(Y8="","",Y8+30)</f>
        <v/>
      </c>
      <c r="AA8" s="13" t="n"/>
      <c r="AB8" s="13" t="n"/>
      <c r="AC8" s="13" t="n"/>
      <c r="AD8" s="13" t="n"/>
      <c r="AE8" s="14">
        <f>IF(B8="","",IF(AA8&lt;&gt;"","مدفوع",IF(AB8&lt;&gt;"","لم يدفع",IF(AC8&lt;&gt;"","تأمين فقط",IF(AD8&lt;&gt;"","اشتراك 300","")))))</f>
        <v/>
      </c>
      <c r="AF8" s="16">
        <f>IF(OR(AE8="لم يدفع",B8=""),"",IF(OR(AE8="تأمين فقط",X8="FCS",X8="RCS"),0,IF(OR(AE8="اشتراك 300",X8="POLICE",X8="OPOW",X8="DJS"),300,IF(H8&lt;14,1300,1500))))</f>
        <v/>
      </c>
      <c r="AG8" s="16">
        <f>IF(OR(AE8="لم يدفع",B8=""),"",500)</f>
        <v/>
      </c>
      <c r="AH8" s="16">
        <f>IF(OR(AE8="لم يدفع",AE8="تأمين فقط",AE8="اشتراك 300",X8="OPOW",X8="DJS",X8="FCS",X8="RCS",X8="POLICE",B8=""),"",1000)</f>
        <v/>
      </c>
      <c r="AI8" s="17">
        <f>IF(AE8="لم يدفع","",IF(AF8="","",AF8+AG8))</f>
        <v/>
      </c>
      <c r="AJ8" s="18">
        <f>IF(B8="","",IF(AE8="لم يدفع","🔒 مجمدة",IF(Z8="","",IF(Z8&lt;TODAY(),"⛔ منتهي - يتطلب تجديد",IF(Z8-5&lt;=TODAY(),"⚠️ قريب الانتهاء","✅ ساري")))))</f>
        <v/>
      </c>
      <c r="AK8" s="13" t="n"/>
      <c r="AL8" s="13" t="n"/>
      <c r="AM8" s="13" t="n"/>
      <c r="AN8" s="13" t="n"/>
      <c r="AO8" s="14">
        <f>IF(B8="","",IF(AK8&lt;&gt;"","الأحد والأربعاء",IF(AL8&lt;&gt;"","الاثنين والخميس",IF(AM8&lt;&gt;"","الثلاثاء والجمعة",IF(AN8&lt;&gt;"","كل الأيام","")))))</f>
        <v/>
      </c>
      <c r="AP8" s="13" t="n"/>
      <c r="AQ8" s="13" t="n"/>
      <c r="AR8" s="13" t="n"/>
      <c r="AS8" s="13" t="n"/>
      <c r="AT8" s="14">
        <f>IF(B8="","",IF(AP8&lt;&gt;"","09:00-10:00",IF(AQ8&lt;&gt;"","10:00-11:00",IF(AR8&lt;&gt;"","19:00-20:00",IF(AS8&lt;&gt;"","20:00-21:00","")))))</f>
        <v/>
      </c>
      <c r="AU8" s="19">
        <f>IF(B8="","",COUNTA(التجديد!E8:E8))</f>
        <v/>
      </c>
    </row>
    <row r="9" ht="22" customHeight="1">
      <c r="A9" s="10">
        <f>IF(B9="","","RCS "&amp;TEXT(ROW()-2,"000"))</f>
        <v/>
      </c>
      <c r="B9" s="11" t="n"/>
      <c r="C9" s="11" t="n"/>
      <c r="D9" s="12" t="n"/>
      <c r="E9" s="13" t="n"/>
      <c r="F9" s="13" t="n"/>
      <c r="G9" s="14">
        <f>IF(B9="","",IF(E9&lt;&gt;"","ذكر",IF(F9&lt;&gt;"","أنثى","")))</f>
        <v/>
      </c>
      <c r="H9" s="14">
        <f>IF(D9="","",DATEDIF(D9,TODAY(),"Y"))</f>
        <v/>
      </c>
      <c r="I9" s="13" t="n"/>
      <c r="J9" s="13" t="n"/>
      <c r="K9" s="13" t="n"/>
      <c r="L9" s="13" t="n"/>
      <c r="M9" s="13" t="n"/>
      <c r="N9" s="13" t="n"/>
      <c r="O9" s="13" t="n"/>
      <c r="P9" s="13" t="n"/>
      <c r="Q9" s="14">
        <f>IF(B9="","",IF(I9&lt;&gt;"","A+",IF(J9&lt;&gt;"","A-",IF(K9&lt;&gt;"","B+",IF(L9&lt;&gt;"","B-",IF(M9&lt;&gt;"","O+",IF(N9&lt;&gt;"","O-",IF(O9&lt;&gt;"","AB+",IF(P9&lt;&gt;"","AB-",""))))))))</f>
        <v/>
      </c>
      <c r="R9" s="13" t="n"/>
      <c r="S9" s="13" t="n"/>
      <c r="T9" s="13" t="n"/>
      <c r="U9" s="13" t="n"/>
      <c r="V9" s="13" t="n"/>
      <c r="W9" s="13" t="n"/>
      <c r="X9" s="14">
        <f>IF(B9="","",IF(R9&lt;&gt;"","/",IF(S9&lt;&gt;"","OPOW",IF(T9&lt;&gt;"","DJS",IF(U9&lt;&gt;"","FCS",IF(V9&lt;&gt;"","RCS",IF(W9&lt;&gt;"","POLICE","")))))))</f>
        <v/>
      </c>
      <c r="Y9" s="12" t="n"/>
      <c r="Z9" s="15">
        <f>IF(Y9="","",Y9+30)</f>
        <v/>
      </c>
      <c r="AA9" s="13" t="n"/>
      <c r="AB9" s="13" t="n"/>
      <c r="AC9" s="13" t="n"/>
      <c r="AD9" s="13" t="n"/>
      <c r="AE9" s="14">
        <f>IF(B9="","",IF(AA9&lt;&gt;"","مدفوع",IF(AB9&lt;&gt;"","لم يدفع",IF(AC9&lt;&gt;"","تأمين فقط",IF(AD9&lt;&gt;"","اشتراك 300","")))))</f>
        <v/>
      </c>
      <c r="AF9" s="16">
        <f>IF(OR(AE9="لم يدفع",B9=""),"",IF(OR(AE9="تأمين فقط",X9="FCS",X9="RCS"),0,IF(OR(AE9="اشتراك 300",X9="POLICE",X9="OPOW",X9="DJS"),300,IF(H9&lt;14,1300,1500))))</f>
        <v/>
      </c>
      <c r="AG9" s="16">
        <f>IF(OR(AE9="لم يدفع",B9=""),"",500)</f>
        <v/>
      </c>
      <c r="AH9" s="16">
        <f>IF(OR(AE9="لم يدفع",AE9="تأمين فقط",AE9="اشتراك 300",X9="OPOW",X9="DJS",X9="FCS",X9="RCS",X9="POLICE",B9=""),"",1000)</f>
        <v/>
      </c>
      <c r="AI9" s="17">
        <f>IF(AE9="لم يدفع","",IF(AF9="","",AF9+AG9))</f>
        <v/>
      </c>
      <c r="AJ9" s="18">
        <f>IF(B9="","",IF(AE9="لم يدفع","🔒 مجمدة",IF(Z9="","",IF(Z9&lt;TODAY(),"⛔ منتهي - يتطلب تجديد",IF(Z9-5&lt;=TODAY(),"⚠️ قريب الانتهاء","✅ ساري")))))</f>
        <v/>
      </c>
      <c r="AK9" s="13" t="n"/>
      <c r="AL9" s="13" t="n"/>
      <c r="AM9" s="13" t="n"/>
      <c r="AN9" s="13" t="n"/>
      <c r="AO9" s="14">
        <f>IF(B9="","",IF(AK9&lt;&gt;"","الأحد والأربعاء",IF(AL9&lt;&gt;"","الاثنين والخميس",IF(AM9&lt;&gt;"","الثلاثاء والجمعة",IF(AN9&lt;&gt;"","كل الأيام","")))))</f>
        <v/>
      </c>
      <c r="AP9" s="13" t="n"/>
      <c r="AQ9" s="13" t="n"/>
      <c r="AR9" s="13" t="n"/>
      <c r="AS9" s="13" t="n"/>
      <c r="AT9" s="14">
        <f>IF(B9="","",IF(AP9&lt;&gt;"","09:00-10:00",IF(AQ9&lt;&gt;"","10:00-11:00",IF(AR9&lt;&gt;"","19:00-20:00",IF(AS9&lt;&gt;"","20:00-21:00","")))))</f>
        <v/>
      </c>
      <c r="AU9" s="19">
        <f>IF(B9="","",COUNTA(التجديد!E9:E9))</f>
        <v/>
      </c>
    </row>
    <row r="10" ht="22" customHeight="1">
      <c r="A10" s="10">
        <f>IF(B10="","","RCS "&amp;TEXT(ROW()-2,"000"))</f>
        <v/>
      </c>
      <c r="B10" s="11" t="n"/>
      <c r="C10" s="11" t="n"/>
      <c r="D10" s="12" t="n"/>
      <c r="E10" s="13" t="n"/>
      <c r="F10" s="13" t="n"/>
      <c r="G10" s="14">
        <f>IF(B10="","",IF(E10&lt;&gt;"","ذكر",IF(F10&lt;&gt;"","أنثى","")))</f>
        <v/>
      </c>
      <c r="H10" s="14">
        <f>IF(D10="","",DATEDIF(D10,TODAY(),"Y"))</f>
        <v/>
      </c>
      <c r="I10" s="13" t="n"/>
      <c r="J10" s="13" t="n"/>
      <c r="K10" s="13" t="n"/>
      <c r="L10" s="13" t="n"/>
      <c r="M10" s="13" t="n"/>
      <c r="N10" s="13" t="n"/>
      <c r="O10" s="13" t="n"/>
      <c r="P10" s="13" t="n"/>
      <c r="Q10" s="14">
        <f>IF(B10="","",IF(I10&lt;&gt;"","A+",IF(J10&lt;&gt;"","A-",IF(K10&lt;&gt;"","B+",IF(L10&lt;&gt;"","B-",IF(M10&lt;&gt;"","O+",IF(N10&lt;&gt;"","O-",IF(O10&lt;&gt;"","AB+",IF(P10&lt;&gt;"","AB-",""))))))))</f>
        <v/>
      </c>
      <c r="R10" s="13" t="n"/>
      <c r="S10" s="13" t="n"/>
      <c r="T10" s="13" t="n"/>
      <c r="U10" s="13" t="n"/>
      <c r="V10" s="13" t="n"/>
      <c r="W10" s="13" t="n"/>
      <c r="X10" s="14">
        <f>IF(B10="","",IF(R10&lt;&gt;"","/",IF(S10&lt;&gt;"","OPOW",IF(T10&lt;&gt;"","DJS",IF(U10&lt;&gt;"","FCS",IF(V10&lt;&gt;"","RCS",IF(W10&lt;&gt;"","POLICE","")))))))</f>
        <v/>
      </c>
      <c r="Y10" s="12" t="n"/>
      <c r="Z10" s="15">
        <f>IF(Y10="","",Y10+30)</f>
        <v/>
      </c>
      <c r="AA10" s="13" t="n"/>
      <c r="AB10" s="13" t="n"/>
      <c r="AC10" s="13" t="n"/>
      <c r="AD10" s="13" t="n"/>
      <c r="AE10" s="14">
        <f>IF(B10="","",IF(AA10&lt;&gt;"","مدفوع",IF(AB10&lt;&gt;"","لم يدفع",IF(AC10&lt;&gt;"","تأمين فقط",IF(AD10&lt;&gt;"","اشتراك 300","")))))</f>
        <v/>
      </c>
      <c r="AF10" s="16">
        <f>IF(OR(AE10="لم يدفع",B10=""),"",IF(OR(AE10="تأمين فقط",X10="FCS",X10="RCS"),0,IF(OR(AE10="اشتراك 300",X10="POLICE",X10="OPOW",X10="DJS"),300,IF(H10&lt;14,1300,1500))))</f>
        <v/>
      </c>
      <c r="AG10" s="16">
        <f>IF(OR(AE10="لم يدفع",B10=""),"",500)</f>
        <v/>
      </c>
      <c r="AH10" s="16">
        <f>IF(OR(AE10="لم يدفع",AE10="تأمين فقط",AE10="اشتراك 300",X10="OPOW",X10="DJS",X10="FCS",X10="RCS",X10="POLICE",B10=""),"",1000)</f>
        <v/>
      </c>
      <c r="AI10" s="17">
        <f>IF(AE10="لم يدفع","",IF(AF10="","",AF10+AG10))</f>
        <v/>
      </c>
      <c r="AJ10" s="18">
        <f>IF(B10="","",IF(AE10="لم يدفع","🔒 مجمدة",IF(Z10="","",IF(Z10&lt;TODAY(),"⛔ منتهي - يتطلب تجديد",IF(Z10-5&lt;=TODAY(),"⚠️ قريب الانتهاء","✅ ساري")))))</f>
        <v/>
      </c>
      <c r="AK10" s="13" t="n"/>
      <c r="AL10" s="13" t="n"/>
      <c r="AM10" s="13" t="n"/>
      <c r="AN10" s="13" t="n"/>
      <c r="AO10" s="14">
        <f>IF(B10="","",IF(AK10&lt;&gt;"","الأحد والأربعاء",IF(AL10&lt;&gt;"","الاثنين والخميس",IF(AM10&lt;&gt;"","الثلاثاء والجمعة",IF(AN10&lt;&gt;"","كل الأيام","")))))</f>
        <v/>
      </c>
      <c r="AP10" s="13" t="n"/>
      <c r="AQ10" s="13" t="n"/>
      <c r="AR10" s="13" t="n"/>
      <c r="AS10" s="13" t="n"/>
      <c r="AT10" s="14">
        <f>IF(B10="","",IF(AP10&lt;&gt;"","09:00-10:00",IF(AQ10&lt;&gt;"","10:00-11:00",IF(AR10&lt;&gt;"","19:00-20:00",IF(AS10&lt;&gt;"","20:00-21:00","")))))</f>
        <v/>
      </c>
      <c r="AU10" s="19">
        <f>IF(B10="","",COUNTA(التجديد!E10:E10))</f>
        <v/>
      </c>
    </row>
    <row r="11" ht="22" customHeight="1">
      <c r="A11" s="10">
        <f>IF(B11="","","RCS "&amp;TEXT(ROW()-2,"000"))</f>
        <v/>
      </c>
      <c r="B11" s="11" t="n"/>
      <c r="C11" s="11" t="n"/>
      <c r="D11" s="12" t="n"/>
      <c r="E11" s="13" t="n"/>
      <c r="F11" s="13" t="n"/>
      <c r="G11" s="14">
        <f>IF(B11="","",IF(E11&lt;&gt;"","ذكر",IF(F11&lt;&gt;"","أنثى","")))</f>
        <v/>
      </c>
      <c r="H11" s="14">
        <f>IF(D11="","",DATEDIF(D11,TODAY(),"Y"))</f>
        <v/>
      </c>
      <c r="I11" s="13" t="n"/>
      <c r="J11" s="13" t="n"/>
      <c r="K11" s="13" t="n"/>
      <c r="L11" s="13" t="n"/>
      <c r="M11" s="13" t="n"/>
      <c r="N11" s="13" t="n"/>
      <c r="O11" s="13" t="n"/>
      <c r="P11" s="13" t="n"/>
      <c r="Q11" s="14">
        <f>IF(B11="","",IF(I11&lt;&gt;"","A+",IF(J11&lt;&gt;"","A-",IF(K11&lt;&gt;"","B+",IF(L11&lt;&gt;"","B-",IF(M11&lt;&gt;"","O+",IF(N11&lt;&gt;"","O-",IF(O11&lt;&gt;"","AB+",IF(P11&lt;&gt;"","AB-",""))))))))</f>
        <v/>
      </c>
      <c r="R11" s="13" t="n"/>
      <c r="S11" s="13" t="n"/>
      <c r="T11" s="13" t="n"/>
      <c r="U11" s="13" t="n"/>
      <c r="V11" s="13" t="n"/>
      <c r="W11" s="13" t="n"/>
      <c r="X11" s="14">
        <f>IF(B11="","",IF(R11&lt;&gt;"","/",IF(S11&lt;&gt;"","OPOW",IF(T11&lt;&gt;"","DJS",IF(U11&lt;&gt;"","FCS",IF(V11&lt;&gt;"","RCS",IF(W11&lt;&gt;"","POLICE","")))))))</f>
        <v/>
      </c>
      <c r="Y11" s="12" t="n"/>
      <c r="Z11" s="15">
        <f>IF(Y11="","",Y11+30)</f>
        <v/>
      </c>
      <c r="AA11" s="13" t="n"/>
      <c r="AB11" s="13" t="n"/>
      <c r="AC11" s="13" t="n"/>
      <c r="AD11" s="13" t="n"/>
      <c r="AE11" s="14">
        <f>IF(B11="","",IF(AA11&lt;&gt;"","مدفوع",IF(AB11&lt;&gt;"","لم يدفع",IF(AC11&lt;&gt;"","تأمين فقط",IF(AD11&lt;&gt;"","اشتراك 300","")))))</f>
        <v/>
      </c>
      <c r="AF11" s="16">
        <f>IF(OR(AE11="لم يدفع",B11=""),"",IF(OR(AE11="تأمين فقط",X11="FCS",X11="RCS"),0,IF(OR(AE11="اشتراك 300",X11="POLICE",X11="OPOW",X11="DJS"),300,IF(H11&lt;14,1300,1500))))</f>
        <v/>
      </c>
      <c r="AG11" s="16">
        <f>IF(OR(AE11="لم يدفع",B11=""),"",500)</f>
        <v/>
      </c>
      <c r="AH11" s="16">
        <f>IF(OR(AE11="لم يدفع",AE11="تأمين فقط",AE11="اشتراك 300",X11="OPOW",X11="DJS",X11="FCS",X11="RCS",X11="POLICE",B11=""),"",1000)</f>
        <v/>
      </c>
      <c r="AI11" s="17">
        <f>IF(AE11="لم يدفع","",IF(AF11="","",AF11+AG11))</f>
        <v/>
      </c>
      <c r="AJ11" s="18">
        <f>IF(B11="","",IF(AE11="لم يدفع","🔒 مجمدة",IF(Z11="","",IF(Z11&lt;TODAY(),"⛔ منتهي - يتطلب تجديد",IF(Z11-5&lt;=TODAY(),"⚠️ قريب الانتهاء","✅ ساري")))))</f>
        <v/>
      </c>
      <c r="AK11" s="13" t="n"/>
      <c r="AL11" s="13" t="n"/>
      <c r="AM11" s="13" t="n"/>
      <c r="AN11" s="13" t="n"/>
      <c r="AO11" s="14">
        <f>IF(B11="","",IF(AK11&lt;&gt;"","الأحد والأربعاء",IF(AL11&lt;&gt;"","الاثنين والخميس",IF(AM11&lt;&gt;"","الثلاثاء والجمعة",IF(AN11&lt;&gt;"","كل الأيام","")))))</f>
        <v/>
      </c>
      <c r="AP11" s="13" t="n"/>
      <c r="AQ11" s="13" t="n"/>
      <c r="AR11" s="13" t="n"/>
      <c r="AS11" s="13" t="n"/>
      <c r="AT11" s="14">
        <f>IF(B11="","",IF(AP11&lt;&gt;"","09:00-10:00",IF(AQ11&lt;&gt;"","10:00-11:00",IF(AR11&lt;&gt;"","19:00-20:00",IF(AS11&lt;&gt;"","20:00-21:00","")))))</f>
        <v/>
      </c>
      <c r="AU11" s="19">
        <f>IF(B11="","",COUNTA(التجديد!E11:E11))</f>
        <v/>
      </c>
    </row>
    <row r="12" ht="22" customHeight="1">
      <c r="A12" s="10">
        <f>IF(B12="","","RCS "&amp;TEXT(ROW()-2,"000"))</f>
        <v/>
      </c>
      <c r="B12" s="11" t="n"/>
      <c r="C12" s="11" t="n"/>
      <c r="D12" s="12" t="n"/>
      <c r="E12" s="13" t="n"/>
      <c r="F12" s="13" t="n"/>
      <c r="G12" s="14">
        <f>IF(B12="","",IF(E12&lt;&gt;"","ذكر",IF(F12&lt;&gt;"","أنثى","")))</f>
        <v/>
      </c>
      <c r="H12" s="14">
        <f>IF(D12="","",DATEDIF(D12,TODAY(),"Y"))</f>
        <v/>
      </c>
      <c r="I12" s="13" t="n"/>
      <c r="J12" s="13" t="n"/>
      <c r="K12" s="13" t="n"/>
      <c r="L12" s="13" t="n"/>
      <c r="M12" s="13" t="n"/>
      <c r="N12" s="13" t="n"/>
      <c r="O12" s="13" t="n"/>
      <c r="P12" s="13" t="n"/>
      <c r="Q12" s="14">
        <f>IF(B12="","",IF(I12&lt;&gt;"","A+",IF(J12&lt;&gt;"","A-",IF(K12&lt;&gt;"","B+",IF(L12&lt;&gt;"","B-",IF(M12&lt;&gt;"","O+",IF(N12&lt;&gt;"","O-",IF(O12&lt;&gt;"","AB+",IF(P12&lt;&gt;"","AB-",""))))))))</f>
        <v/>
      </c>
      <c r="R12" s="13" t="n"/>
      <c r="S12" s="13" t="n"/>
      <c r="T12" s="13" t="n"/>
      <c r="U12" s="13" t="n"/>
      <c r="V12" s="13" t="n"/>
      <c r="W12" s="13" t="n"/>
      <c r="X12" s="14">
        <f>IF(B12="","",IF(R12&lt;&gt;"","/",IF(S12&lt;&gt;"","OPOW",IF(T12&lt;&gt;"","DJS",IF(U12&lt;&gt;"","FCS",IF(V12&lt;&gt;"","RCS",IF(W12&lt;&gt;"","POLICE","")))))))</f>
        <v/>
      </c>
      <c r="Y12" s="12" t="n"/>
      <c r="Z12" s="15">
        <f>IF(Y12="","",Y12+30)</f>
        <v/>
      </c>
      <c r="AA12" s="13" t="n"/>
      <c r="AB12" s="13" t="n"/>
      <c r="AC12" s="13" t="n"/>
      <c r="AD12" s="13" t="n"/>
      <c r="AE12" s="14">
        <f>IF(B12="","",IF(AA12&lt;&gt;"","مدفوع",IF(AB12&lt;&gt;"","لم يدفع",IF(AC12&lt;&gt;"","تأمين فقط",IF(AD12&lt;&gt;"","اشتراك 300","")))))</f>
        <v/>
      </c>
      <c r="AF12" s="16">
        <f>IF(OR(AE12="لم يدفع",B12=""),"",IF(OR(AE12="تأمين فقط",X12="FCS",X12="RCS"),0,IF(OR(AE12="اشتراك 300",X12="POLICE",X12="OPOW",X12="DJS"),300,IF(H12&lt;14,1300,1500))))</f>
        <v/>
      </c>
      <c r="AG12" s="16">
        <f>IF(OR(AE12="لم يدفع",B12=""),"",500)</f>
        <v/>
      </c>
      <c r="AH12" s="16">
        <f>IF(OR(AE12="لم يدفع",AE12="تأمين فقط",AE12="اشتراك 300",X12="OPOW",X12="DJS",X12="FCS",X12="RCS",X12="POLICE",B12=""),"",1000)</f>
        <v/>
      </c>
      <c r="AI12" s="17">
        <f>IF(AE12="لم يدفع","",IF(AF12="","",AF12+AG12))</f>
        <v/>
      </c>
      <c r="AJ12" s="18">
        <f>IF(B12="","",IF(AE12="لم يدفع","🔒 مجمدة",IF(Z12="","",IF(Z12&lt;TODAY(),"⛔ منتهي - يتطلب تجديد",IF(Z12-5&lt;=TODAY(),"⚠️ قريب الانتهاء","✅ ساري")))))</f>
        <v/>
      </c>
      <c r="AK12" s="13" t="n"/>
      <c r="AL12" s="13" t="n"/>
      <c r="AM12" s="13" t="n"/>
      <c r="AN12" s="13" t="n"/>
      <c r="AO12" s="14">
        <f>IF(B12="","",IF(AK12&lt;&gt;"","الأحد والأربعاء",IF(AL12&lt;&gt;"","الاثنين والخميس",IF(AM12&lt;&gt;"","الثلاثاء والجمعة",IF(AN12&lt;&gt;"","كل الأيام","")))))</f>
        <v/>
      </c>
      <c r="AP12" s="13" t="n"/>
      <c r="AQ12" s="13" t="n"/>
      <c r="AR12" s="13" t="n"/>
      <c r="AS12" s="13" t="n"/>
      <c r="AT12" s="14">
        <f>IF(B12="","",IF(AP12&lt;&gt;"","09:00-10:00",IF(AQ12&lt;&gt;"","10:00-11:00",IF(AR12&lt;&gt;"","19:00-20:00",IF(AS12&lt;&gt;"","20:00-21:00","")))))</f>
        <v/>
      </c>
      <c r="AU12" s="19">
        <f>IF(B12="","",COUNTA(التجديد!E12:E12))</f>
        <v/>
      </c>
    </row>
    <row r="13" ht="22" customHeight="1">
      <c r="A13" s="10">
        <f>IF(B13="","","RCS "&amp;TEXT(ROW()-2,"000"))</f>
        <v/>
      </c>
      <c r="B13" s="11" t="n"/>
      <c r="C13" s="11" t="n"/>
      <c r="D13" s="12" t="n"/>
      <c r="E13" s="13" t="n"/>
      <c r="F13" s="13" t="n"/>
      <c r="G13" s="14">
        <f>IF(B13="","",IF(E13&lt;&gt;"","ذكر",IF(F13&lt;&gt;"","أنثى","")))</f>
        <v/>
      </c>
      <c r="H13" s="14">
        <f>IF(D13="","",DATEDIF(D13,TODAY(),"Y"))</f>
        <v/>
      </c>
      <c r="I13" s="13" t="n"/>
      <c r="J13" s="13" t="n"/>
      <c r="K13" s="13" t="n"/>
      <c r="L13" s="13" t="n"/>
      <c r="M13" s="13" t="n"/>
      <c r="N13" s="13" t="n"/>
      <c r="O13" s="13" t="n"/>
      <c r="P13" s="13" t="n"/>
      <c r="Q13" s="14">
        <f>IF(B13="","",IF(I13&lt;&gt;"","A+",IF(J13&lt;&gt;"","A-",IF(K13&lt;&gt;"","B+",IF(L13&lt;&gt;"","B-",IF(M13&lt;&gt;"","O+",IF(N13&lt;&gt;"","O-",IF(O13&lt;&gt;"","AB+",IF(P13&lt;&gt;"","AB-",""))))))))</f>
        <v/>
      </c>
      <c r="R13" s="13" t="n"/>
      <c r="S13" s="13" t="n"/>
      <c r="T13" s="13" t="n"/>
      <c r="U13" s="13" t="n"/>
      <c r="V13" s="13" t="n"/>
      <c r="W13" s="13" t="n"/>
      <c r="X13" s="14">
        <f>IF(B13="","",IF(R13&lt;&gt;"","/",IF(S13&lt;&gt;"","OPOW",IF(T13&lt;&gt;"","DJS",IF(U13&lt;&gt;"","FCS",IF(V13&lt;&gt;"","RCS",IF(W13&lt;&gt;"","POLICE","")))))))</f>
        <v/>
      </c>
      <c r="Y13" s="12" t="n"/>
      <c r="Z13" s="15">
        <f>IF(Y13="","",Y13+30)</f>
        <v/>
      </c>
      <c r="AA13" s="13" t="n"/>
      <c r="AB13" s="13" t="n"/>
      <c r="AC13" s="13" t="n"/>
      <c r="AD13" s="13" t="n"/>
      <c r="AE13" s="14">
        <f>IF(B13="","",IF(AA13&lt;&gt;"","مدفوع",IF(AB13&lt;&gt;"","لم يدفع",IF(AC13&lt;&gt;"","تأمين فقط",IF(AD13&lt;&gt;"","اشتراك 300","")))))</f>
        <v/>
      </c>
      <c r="AF13" s="16">
        <f>IF(OR(AE13="لم يدفع",B13=""),"",IF(OR(AE13="تأمين فقط",X13="FCS",X13="RCS"),0,IF(OR(AE13="اشتراك 300",X13="POLICE",X13="OPOW",X13="DJS"),300,IF(H13&lt;14,1300,1500))))</f>
        <v/>
      </c>
      <c r="AG13" s="16">
        <f>IF(OR(AE13="لم يدفع",B13=""),"",500)</f>
        <v/>
      </c>
      <c r="AH13" s="16">
        <f>IF(OR(AE13="لم يدفع",AE13="تأمين فقط",AE13="اشتراك 300",X13="OPOW",X13="DJS",X13="FCS",X13="RCS",X13="POLICE",B13=""),"",1000)</f>
        <v/>
      </c>
      <c r="AI13" s="17">
        <f>IF(AE13="لم يدفع","",IF(AF13="","",AF13+AG13))</f>
        <v/>
      </c>
      <c r="AJ13" s="18">
        <f>IF(B13="","",IF(AE13="لم يدفع","🔒 مجمدة",IF(Z13="","",IF(Z13&lt;TODAY(),"⛔ منتهي - يتطلب تجديد",IF(Z13-5&lt;=TODAY(),"⚠️ قريب الانتهاء","✅ ساري")))))</f>
        <v/>
      </c>
      <c r="AK13" s="13" t="n"/>
      <c r="AL13" s="13" t="n"/>
      <c r="AM13" s="13" t="n"/>
      <c r="AN13" s="13" t="n"/>
      <c r="AO13" s="14">
        <f>IF(B13="","",IF(AK13&lt;&gt;"","الأحد والأربعاء",IF(AL13&lt;&gt;"","الاثنين والخميس",IF(AM13&lt;&gt;"","الثلاثاء والجمعة",IF(AN13&lt;&gt;"","كل الأيام","")))))</f>
        <v/>
      </c>
      <c r="AP13" s="13" t="n"/>
      <c r="AQ13" s="13" t="n"/>
      <c r="AR13" s="13" t="n"/>
      <c r="AS13" s="13" t="n"/>
      <c r="AT13" s="14">
        <f>IF(B13="","",IF(AP13&lt;&gt;"","09:00-10:00",IF(AQ13&lt;&gt;"","10:00-11:00",IF(AR13&lt;&gt;"","19:00-20:00",IF(AS13&lt;&gt;"","20:00-21:00","")))))</f>
        <v/>
      </c>
      <c r="AU13" s="19">
        <f>IF(B13="","",COUNTA(التجديد!E13:E13))</f>
        <v/>
      </c>
    </row>
    <row r="14" ht="22" customHeight="1">
      <c r="A14" s="10">
        <f>IF(B14="","","RCS "&amp;TEXT(ROW()-2,"000"))</f>
        <v/>
      </c>
      <c r="B14" s="11" t="n"/>
      <c r="C14" s="11" t="n"/>
      <c r="D14" s="12" t="n"/>
      <c r="E14" s="13" t="n"/>
      <c r="F14" s="13" t="n"/>
      <c r="G14" s="14">
        <f>IF(B14="","",IF(E14&lt;&gt;"","ذكر",IF(F14&lt;&gt;"","أنثى","")))</f>
        <v/>
      </c>
      <c r="H14" s="14">
        <f>IF(D14="","",DATEDIF(D14,TODAY(),"Y"))</f>
        <v/>
      </c>
      <c r="I14" s="13" t="n"/>
      <c r="J14" s="13" t="n"/>
      <c r="K14" s="13" t="n"/>
      <c r="L14" s="13" t="n"/>
      <c r="M14" s="13" t="n"/>
      <c r="N14" s="13" t="n"/>
      <c r="O14" s="13" t="n"/>
      <c r="P14" s="13" t="n"/>
      <c r="Q14" s="14">
        <f>IF(B14="","",IF(I14&lt;&gt;"","A+",IF(J14&lt;&gt;"","A-",IF(K14&lt;&gt;"","B+",IF(L14&lt;&gt;"","B-",IF(M14&lt;&gt;"","O+",IF(N14&lt;&gt;"","O-",IF(O14&lt;&gt;"","AB+",IF(P14&lt;&gt;"","AB-",""))))))))</f>
        <v/>
      </c>
      <c r="R14" s="13" t="n"/>
      <c r="S14" s="13" t="n"/>
      <c r="T14" s="13" t="n"/>
      <c r="U14" s="13" t="n"/>
      <c r="V14" s="13" t="n"/>
      <c r="W14" s="13" t="n"/>
      <c r="X14" s="14">
        <f>IF(B14="","",IF(R14&lt;&gt;"","/",IF(S14&lt;&gt;"","OPOW",IF(T14&lt;&gt;"","DJS",IF(U14&lt;&gt;"","FCS",IF(V14&lt;&gt;"","RCS",IF(W14&lt;&gt;"","POLICE","")))))))</f>
        <v/>
      </c>
      <c r="Y14" s="12" t="n"/>
      <c r="Z14" s="15">
        <f>IF(Y14="","",Y14+30)</f>
        <v/>
      </c>
      <c r="AA14" s="13" t="n"/>
      <c r="AB14" s="13" t="n"/>
      <c r="AC14" s="13" t="n"/>
      <c r="AD14" s="13" t="n"/>
      <c r="AE14" s="14">
        <f>IF(B14="","",IF(AA14&lt;&gt;"","مدفوع",IF(AB14&lt;&gt;"","لم يدفع",IF(AC14&lt;&gt;"","تأمين فقط",IF(AD14&lt;&gt;"","اشتراك 300","")))))</f>
        <v/>
      </c>
      <c r="AF14" s="16">
        <f>IF(OR(AE14="لم يدفع",B14=""),"",IF(OR(AE14="تأمين فقط",X14="FCS",X14="RCS"),0,IF(OR(AE14="اشتراك 300",X14="POLICE",X14="OPOW",X14="DJS"),300,IF(H14&lt;14,1300,1500))))</f>
        <v/>
      </c>
      <c r="AG14" s="16">
        <f>IF(OR(AE14="لم يدفع",B14=""),"",500)</f>
        <v/>
      </c>
      <c r="AH14" s="16">
        <f>IF(OR(AE14="لم يدفع",AE14="تأمين فقط",AE14="اشتراك 300",X14="OPOW",X14="DJS",X14="FCS",X14="RCS",X14="POLICE",B14=""),"",1000)</f>
        <v/>
      </c>
      <c r="AI14" s="17">
        <f>IF(AE14="لم يدفع","",IF(AF14="","",AF14+AG14))</f>
        <v/>
      </c>
      <c r="AJ14" s="18">
        <f>IF(B14="","",IF(AE14="لم يدفع","🔒 مجمدة",IF(Z14="","",IF(Z14&lt;TODAY(),"⛔ منتهي - يتطلب تجديد",IF(Z14-5&lt;=TODAY(),"⚠️ قريب الانتهاء","✅ ساري")))))</f>
        <v/>
      </c>
      <c r="AK14" s="13" t="n"/>
      <c r="AL14" s="13" t="n"/>
      <c r="AM14" s="13" t="n"/>
      <c r="AN14" s="13" t="n"/>
      <c r="AO14" s="14">
        <f>IF(B14="","",IF(AK14&lt;&gt;"","الأحد والأربعاء",IF(AL14&lt;&gt;"","الاثنين والخميس",IF(AM14&lt;&gt;"","الثلاثاء والجمعة",IF(AN14&lt;&gt;"","كل الأيام","")))))</f>
        <v/>
      </c>
      <c r="AP14" s="13" t="n"/>
      <c r="AQ14" s="13" t="n"/>
      <c r="AR14" s="13" t="n"/>
      <c r="AS14" s="13" t="n"/>
      <c r="AT14" s="14">
        <f>IF(B14="","",IF(AP14&lt;&gt;"","09:00-10:00",IF(AQ14&lt;&gt;"","10:00-11:00",IF(AR14&lt;&gt;"","19:00-20:00",IF(AS14&lt;&gt;"","20:00-21:00","")))))</f>
        <v/>
      </c>
      <c r="AU14" s="19">
        <f>IF(B14="","",COUNTA(التجديد!E14:E14))</f>
        <v/>
      </c>
    </row>
    <row r="15" ht="22" customHeight="1">
      <c r="A15" s="10">
        <f>IF(B15="","","RCS "&amp;TEXT(ROW()-2,"000"))</f>
        <v/>
      </c>
      <c r="B15" s="11" t="n"/>
      <c r="C15" s="11" t="n"/>
      <c r="D15" s="12" t="n"/>
      <c r="E15" s="13" t="n"/>
      <c r="F15" s="13" t="n"/>
      <c r="G15" s="14">
        <f>IF(B15="","",IF(E15&lt;&gt;"","ذكر",IF(F15&lt;&gt;"","أنثى","")))</f>
        <v/>
      </c>
      <c r="H15" s="14">
        <f>IF(D15="","",DATEDIF(D15,TODAY(),"Y"))</f>
        <v/>
      </c>
      <c r="I15" s="13" t="n"/>
      <c r="J15" s="13" t="n"/>
      <c r="K15" s="13" t="n"/>
      <c r="L15" s="13" t="n"/>
      <c r="M15" s="13" t="n"/>
      <c r="N15" s="13" t="n"/>
      <c r="O15" s="13" t="n"/>
      <c r="P15" s="13" t="n"/>
      <c r="Q15" s="14">
        <f>IF(B15="","",IF(I15&lt;&gt;"","A+",IF(J15&lt;&gt;"","A-",IF(K15&lt;&gt;"","B+",IF(L15&lt;&gt;"","B-",IF(M15&lt;&gt;"","O+",IF(N15&lt;&gt;"","O-",IF(O15&lt;&gt;"","AB+",IF(P15&lt;&gt;"","AB-",""))))))))</f>
        <v/>
      </c>
      <c r="R15" s="13" t="n"/>
      <c r="S15" s="13" t="n"/>
      <c r="T15" s="13" t="n"/>
      <c r="U15" s="13" t="n"/>
      <c r="V15" s="13" t="n"/>
      <c r="W15" s="13" t="n"/>
      <c r="X15" s="14">
        <f>IF(B15="","",IF(R15&lt;&gt;"","/",IF(S15&lt;&gt;"","OPOW",IF(T15&lt;&gt;"","DJS",IF(U15&lt;&gt;"","FCS",IF(V15&lt;&gt;"","RCS",IF(W15&lt;&gt;"","POLICE","")))))))</f>
        <v/>
      </c>
      <c r="Y15" s="12" t="n"/>
      <c r="Z15" s="15">
        <f>IF(Y15="","",Y15+30)</f>
        <v/>
      </c>
      <c r="AA15" s="13" t="n"/>
      <c r="AB15" s="13" t="n"/>
      <c r="AC15" s="13" t="n"/>
      <c r="AD15" s="13" t="n"/>
      <c r="AE15" s="14">
        <f>IF(B15="","",IF(AA15&lt;&gt;"","مدفوع",IF(AB15&lt;&gt;"","لم يدفع",IF(AC15&lt;&gt;"","تأمين فقط",IF(AD15&lt;&gt;"","اشتراك 300","")))))</f>
        <v/>
      </c>
      <c r="AF15" s="16">
        <f>IF(OR(AE15="لم يدفع",B15=""),"",IF(OR(AE15="تأمين فقط",X15="FCS",X15="RCS"),0,IF(OR(AE15="اشتراك 300",X15="POLICE",X15="OPOW",X15="DJS"),300,IF(H15&lt;14,1300,1500))))</f>
        <v/>
      </c>
      <c r="AG15" s="16">
        <f>IF(OR(AE15="لم يدفع",B15=""),"",500)</f>
        <v/>
      </c>
      <c r="AH15" s="16">
        <f>IF(OR(AE15="لم يدفع",AE15="تأمين فقط",AE15="اشتراك 300",X15="OPOW",X15="DJS",X15="FCS",X15="RCS",X15="POLICE",B15=""),"",1000)</f>
        <v/>
      </c>
      <c r="AI15" s="17">
        <f>IF(AE15="لم يدفع","",IF(AF15="","",AF15+AG15))</f>
        <v/>
      </c>
      <c r="AJ15" s="18">
        <f>IF(B15="","",IF(AE15="لم يدفع","🔒 مجمدة",IF(Z15="","",IF(Z15&lt;TODAY(),"⛔ منتهي - يتطلب تجديد",IF(Z15-5&lt;=TODAY(),"⚠️ قريب الانتهاء","✅ ساري")))))</f>
        <v/>
      </c>
      <c r="AK15" s="13" t="n"/>
      <c r="AL15" s="13" t="n"/>
      <c r="AM15" s="13" t="n"/>
      <c r="AN15" s="13" t="n"/>
      <c r="AO15" s="14">
        <f>IF(B15="","",IF(AK15&lt;&gt;"","الأحد والأربعاء",IF(AL15&lt;&gt;"","الاثنين والخميس",IF(AM15&lt;&gt;"","الثلاثاء والجمعة",IF(AN15&lt;&gt;"","كل الأيام","")))))</f>
        <v/>
      </c>
      <c r="AP15" s="13" t="n"/>
      <c r="AQ15" s="13" t="n"/>
      <c r="AR15" s="13" t="n"/>
      <c r="AS15" s="13" t="n"/>
      <c r="AT15" s="14">
        <f>IF(B15="","",IF(AP15&lt;&gt;"","09:00-10:00",IF(AQ15&lt;&gt;"","10:00-11:00",IF(AR15&lt;&gt;"","19:00-20:00",IF(AS15&lt;&gt;"","20:00-21:00","")))))</f>
        <v/>
      </c>
      <c r="AU15" s="19">
        <f>IF(B15="","",COUNTA(التجديد!E15:E15))</f>
        <v/>
      </c>
    </row>
    <row r="16" ht="22" customHeight="1">
      <c r="A16" s="10">
        <f>IF(B16="","","RCS "&amp;TEXT(ROW()-2,"000"))</f>
        <v/>
      </c>
      <c r="B16" s="11" t="n"/>
      <c r="C16" s="11" t="n"/>
      <c r="D16" s="12" t="n"/>
      <c r="E16" s="13" t="n"/>
      <c r="F16" s="13" t="n"/>
      <c r="G16" s="14">
        <f>IF(B16="","",IF(E16&lt;&gt;"","ذكر",IF(F16&lt;&gt;"","أنثى","")))</f>
        <v/>
      </c>
      <c r="H16" s="14">
        <f>IF(D16="","",DATEDIF(D16,TODAY(),"Y"))</f>
        <v/>
      </c>
      <c r="I16" s="13" t="n"/>
      <c r="J16" s="13" t="n"/>
      <c r="K16" s="13" t="n"/>
      <c r="L16" s="13" t="n"/>
      <c r="M16" s="13" t="n"/>
      <c r="N16" s="13" t="n"/>
      <c r="O16" s="13" t="n"/>
      <c r="P16" s="13" t="n"/>
      <c r="Q16" s="14">
        <f>IF(B16="","",IF(I16&lt;&gt;"","A+",IF(J16&lt;&gt;"","A-",IF(K16&lt;&gt;"","B+",IF(L16&lt;&gt;"","B-",IF(M16&lt;&gt;"","O+",IF(N16&lt;&gt;"","O-",IF(O16&lt;&gt;"","AB+",IF(P16&lt;&gt;"","AB-",""))))))))</f>
        <v/>
      </c>
      <c r="R16" s="13" t="n"/>
      <c r="S16" s="13" t="n"/>
      <c r="T16" s="13" t="n"/>
      <c r="U16" s="13" t="n"/>
      <c r="V16" s="13" t="n"/>
      <c r="W16" s="13" t="n"/>
      <c r="X16" s="14">
        <f>IF(B16="","",IF(R16&lt;&gt;"","/",IF(S16&lt;&gt;"","OPOW",IF(T16&lt;&gt;"","DJS",IF(U16&lt;&gt;"","FCS",IF(V16&lt;&gt;"","RCS",IF(W16&lt;&gt;"","POLICE","")))))))</f>
        <v/>
      </c>
      <c r="Y16" s="12" t="n"/>
      <c r="Z16" s="15">
        <f>IF(Y16="","",Y16+30)</f>
        <v/>
      </c>
      <c r="AA16" s="13" t="n"/>
      <c r="AB16" s="13" t="n"/>
      <c r="AC16" s="13" t="n"/>
      <c r="AD16" s="13" t="n"/>
      <c r="AE16" s="14">
        <f>IF(B16="","",IF(AA16&lt;&gt;"","مدفوع",IF(AB16&lt;&gt;"","لم يدفع",IF(AC16&lt;&gt;"","تأمين فقط",IF(AD16&lt;&gt;"","اشتراك 300","")))))</f>
        <v/>
      </c>
      <c r="AF16" s="16">
        <f>IF(OR(AE16="لم يدفع",B16=""),"",IF(OR(AE16="تأمين فقط",X16="FCS",X16="RCS"),0,IF(OR(AE16="اشتراك 300",X16="POLICE",X16="OPOW",X16="DJS"),300,IF(H16&lt;14,1300,1500))))</f>
        <v/>
      </c>
      <c r="AG16" s="16">
        <f>IF(OR(AE16="لم يدفع",B16=""),"",500)</f>
        <v/>
      </c>
      <c r="AH16" s="16">
        <f>IF(OR(AE16="لم يدفع",AE16="تأمين فقط",AE16="اشتراك 300",X16="OPOW",X16="DJS",X16="FCS",X16="RCS",X16="POLICE",B16=""),"",1000)</f>
        <v/>
      </c>
      <c r="AI16" s="17">
        <f>IF(AE16="لم يدفع","",IF(AF16="","",AF16+AG16))</f>
        <v/>
      </c>
      <c r="AJ16" s="18">
        <f>IF(B16="","",IF(AE16="لم يدفع","🔒 مجمدة",IF(Z16="","",IF(Z16&lt;TODAY(),"⛔ منتهي - يتطلب تجديد",IF(Z16-5&lt;=TODAY(),"⚠️ قريب الانتهاء","✅ ساري")))))</f>
        <v/>
      </c>
      <c r="AK16" s="13" t="n"/>
      <c r="AL16" s="13" t="n"/>
      <c r="AM16" s="13" t="n"/>
      <c r="AN16" s="13" t="n"/>
      <c r="AO16" s="14">
        <f>IF(B16="","",IF(AK16&lt;&gt;"","الأحد والأربعاء",IF(AL16&lt;&gt;"","الاثنين والخميس",IF(AM16&lt;&gt;"","الثلاثاء والجمعة",IF(AN16&lt;&gt;"","كل الأيام","")))))</f>
        <v/>
      </c>
      <c r="AP16" s="13" t="n"/>
      <c r="AQ16" s="13" t="n"/>
      <c r="AR16" s="13" t="n"/>
      <c r="AS16" s="13" t="n"/>
      <c r="AT16" s="14">
        <f>IF(B16="","",IF(AP16&lt;&gt;"","09:00-10:00",IF(AQ16&lt;&gt;"","10:00-11:00",IF(AR16&lt;&gt;"","19:00-20:00",IF(AS16&lt;&gt;"","20:00-21:00","")))))</f>
        <v/>
      </c>
      <c r="AU16" s="19">
        <f>IF(B16="","",COUNTA(التجديد!E16:E16))</f>
        <v/>
      </c>
    </row>
    <row r="17" ht="22" customHeight="1">
      <c r="A17" s="10">
        <f>IF(B17="","","RCS "&amp;TEXT(ROW()-2,"000"))</f>
        <v/>
      </c>
      <c r="B17" s="11" t="n"/>
      <c r="C17" s="11" t="n"/>
      <c r="D17" s="12" t="n"/>
      <c r="E17" s="13" t="n"/>
      <c r="F17" s="13" t="n"/>
      <c r="G17" s="14">
        <f>IF(B17="","",IF(E17&lt;&gt;"","ذكر",IF(F17&lt;&gt;"","أنثى","")))</f>
        <v/>
      </c>
      <c r="H17" s="14">
        <f>IF(D17="","",DATEDIF(D17,TODAY(),"Y"))</f>
        <v/>
      </c>
      <c r="I17" s="13" t="n"/>
      <c r="J17" s="13" t="n"/>
      <c r="K17" s="13" t="n"/>
      <c r="L17" s="13" t="n"/>
      <c r="M17" s="13" t="n"/>
      <c r="N17" s="13" t="n"/>
      <c r="O17" s="13" t="n"/>
      <c r="P17" s="13" t="n"/>
      <c r="Q17" s="14">
        <f>IF(B17="","",IF(I17&lt;&gt;"","A+",IF(J17&lt;&gt;"","A-",IF(K17&lt;&gt;"","B+",IF(L17&lt;&gt;"","B-",IF(M17&lt;&gt;"","O+",IF(N17&lt;&gt;"","O-",IF(O17&lt;&gt;"","AB+",IF(P17&lt;&gt;"","AB-",""))))))))</f>
        <v/>
      </c>
      <c r="R17" s="13" t="n"/>
      <c r="S17" s="13" t="n"/>
      <c r="T17" s="13" t="n"/>
      <c r="U17" s="13" t="n"/>
      <c r="V17" s="13" t="n"/>
      <c r="W17" s="13" t="n"/>
      <c r="X17" s="14">
        <f>IF(B17="","",IF(R17&lt;&gt;"","/",IF(S17&lt;&gt;"","OPOW",IF(T17&lt;&gt;"","DJS",IF(U17&lt;&gt;"","FCS",IF(V17&lt;&gt;"","RCS",IF(W17&lt;&gt;"","POLICE","")))))))</f>
        <v/>
      </c>
      <c r="Y17" s="12" t="n"/>
      <c r="Z17" s="15">
        <f>IF(Y17="","",Y17+30)</f>
        <v/>
      </c>
      <c r="AA17" s="13" t="n"/>
      <c r="AB17" s="13" t="n"/>
      <c r="AC17" s="13" t="n"/>
      <c r="AD17" s="13" t="n"/>
      <c r="AE17" s="14">
        <f>IF(B17="","",IF(AA17&lt;&gt;"","مدفوع",IF(AB17&lt;&gt;"","لم يدفع",IF(AC17&lt;&gt;"","تأمين فقط",IF(AD17&lt;&gt;"","اشتراك 300","")))))</f>
        <v/>
      </c>
      <c r="AF17" s="16">
        <f>IF(OR(AE17="لم يدفع",B17=""),"",IF(OR(AE17="تأمين فقط",X17="FCS",X17="RCS"),0,IF(OR(AE17="اشتراك 300",X17="POLICE",X17="OPOW",X17="DJS"),300,IF(H17&lt;14,1300,1500))))</f>
        <v/>
      </c>
      <c r="AG17" s="16">
        <f>IF(OR(AE17="لم يدفع",B17=""),"",500)</f>
        <v/>
      </c>
      <c r="AH17" s="16">
        <f>IF(OR(AE17="لم يدفع",AE17="تأمين فقط",AE17="اشتراك 300",X17="OPOW",X17="DJS",X17="FCS",X17="RCS",X17="POLICE",B17=""),"",1000)</f>
        <v/>
      </c>
      <c r="AI17" s="17">
        <f>IF(AE17="لم يدفع","",IF(AF17="","",AF17+AG17))</f>
        <v/>
      </c>
      <c r="AJ17" s="18">
        <f>IF(B17="","",IF(AE17="لم يدفع","🔒 مجمدة",IF(Z17="","",IF(Z17&lt;TODAY(),"⛔ منتهي - يتطلب تجديد",IF(Z17-5&lt;=TODAY(),"⚠️ قريب الانتهاء","✅ ساري")))))</f>
        <v/>
      </c>
      <c r="AK17" s="13" t="n"/>
      <c r="AL17" s="13" t="n"/>
      <c r="AM17" s="13" t="n"/>
      <c r="AN17" s="13" t="n"/>
      <c r="AO17" s="14">
        <f>IF(B17="","",IF(AK17&lt;&gt;"","الأحد والأربعاء",IF(AL17&lt;&gt;"","الاثنين والخميس",IF(AM17&lt;&gt;"","الثلاثاء والجمعة",IF(AN17&lt;&gt;"","كل الأيام","")))))</f>
        <v/>
      </c>
      <c r="AP17" s="13" t="n"/>
      <c r="AQ17" s="13" t="n"/>
      <c r="AR17" s="13" t="n"/>
      <c r="AS17" s="13" t="n"/>
      <c r="AT17" s="14">
        <f>IF(B17="","",IF(AP17&lt;&gt;"","09:00-10:00",IF(AQ17&lt;&gt;"","10:00-11:00",IF(AR17&lt;&gt;"","19:00-20:00",IF(AS17&lt;&gt;"","20:00-21:00","")))))</f>
        <v/>
      </c>
      <c r="AU17" s="19">
        <f>IF(B17="","",COUNTA(التجديد!E17:E17))</f>
        <v/>
      </c>
    </row>
    <row r="18" ht="22" customHeight="1">
      <c r="A18" s="10">
        <f>IF(B18="","","RCS "&amp;TEXT(ROW()-2,"000"))</f>
        <v/>
      </c>
      <c r="B18" s="11" t="n"/>
      <c r="C18" s="11" t="n"/>
      <c r="D18" s="12" t="n"/>
      <c r="E18" s="13" t="n"/>
      <c r="F18" s="13" t="n"/>
      <c r="G18" s="14">
        <f>IF(B18="","",IF(E18&lt;&gt;"","ذكر",IF(F18&lt;&gt;"","أنثى","")))</f>
        <v/>
      </c>
      <c r="H18" s="14">
        <f>IF(D18="","",DATEDIF(D18,TODAY(),"Y"))</f>
        <v/>
      </c>
      <c r="I18" s="13" t="n"/>
      <c r="J18" s="13" t="n"/>
      <c r="K18" s="13" t="n"/>
      <c r="L18" s="13" t="n"/>
      <c r="M18" s="13" t="n"/>
      <c r="N18" s="13" t="n"/>
      <c r="O18" s="13" t="n"/>
      <c r="P18" s="13" t="n"/>
      <c r="Q18" s="14">
        <f>IF(B18="","",IF(I18&lt;&gt;"","A+",IF(J18&lt;&gt;"","A-",IF(K18&lt;&gt;"","B+",IF(L18&lt;&gt;"","B-",IF(M18&lt;&gt;"","O+",IF(N18&lt;&gt;"","O-",IF(O18&lt;&gt;"","AB+",IF(P18&lt;&gt;"","AB-",""))))))))</f>
        <v/>
      </c>
      <c r="R18" s="13" t="n"/>
      <c r="S18" s="13" t="n"/>
      <c r="T18" s="13" t="n"/>
      <c r="U18" s="13" t="n"/>
      <c r="V18" s="13" t="n"/>
      <c r="W18" s="13" t="n"/>
      <c r="X18" s="14">
        <f>IF(B18="","",IF(R18&lt;&gt;"","/",IF(S18&lt;&gt;"","OPOW",IF(T18&lt;&gt;"","DJS",IF(U18&lt;&gt;"","FCS",IF(V18&lt;&gt;"","RCS",IF(W18&lt;&gt;"","POLICE","")))))))</f>
        <v/>
      </c>
      <c r="Y18" s="12" t="n"/>
      <c r="Z18" s="15">
        <f>IF(Y18="","",Y18+30)</f>
        <v/>
      </c>
      <c r="AA18" s="13" t="n"/>
      <c r="AB18" s="13" t="n"/>
      <c r="AC18" s="13" t="n"/>
      <c r="AD18" s="13" t="n"/>
      <c r="AE18" s="14">
        <f>IF(B18="","",IF(AA18&lt;&gt;"","مدفوع",IF(AB18&lt;&gt;"","لم يدفع",IF(AC18&lt;&gt;"","تأمين فقط",IF(AD18&lt;&gt;"","اشتراك 300","")))))</f>
        <v/>
      </c>
      <c r="AF18" s="16">
        <f>IF(OR(AE18="لم يدفع",B18=""),"",IF(OR(AE18="تأمين فقط",X18="FCS",X18="RCS"),0,IF(OR(AE18="اشتراك 300",X18="POLICE",X18="OPOW",X18="DJS"),300,IF(H18&lt;14,1300,1500))))</f>
        <v/>
      </c>
      <c r="AG18" s="16">
        <f>IF(OR(AE18="لم يدفع",B18=""),"",500)</f>
        <v/>
      </c>
      <c r="AH18" s="16">
        <f>IF(OR(AE18="لم يدفع",AE18="تأمين فقط",AE18="اشتراك 300",X18="OPOW",X18="DJS",X18="FCS",X18="RCS",X18="POLICE",B18=""),"",1000)</f>
        <v/>
      </c>
      <c r="AI18" s="17">
        <f>IF(AE18="لم يدفع","",IF(AF18="","",AF18+AG18))</f>
        <v/>
      </c>
      <c r="AJ18" s="18">
        <f>IF(B18="","",IF(AE18="لم يدفع","🔒 مجمدة",IF(Z18="","",IF(Z18&lt;TODAY(),"⛔ منتهي - يتطلب تجديد",IF(Z18-5&lt;=TODAY(),"⚠️ قريب الانتهاء","✅ ساري")))))</f>
        <v/>
      </c>
      <c r="AK18" s="13" t="n"/>
      <c r="AL18" s="13" t="n"/>
      <c r="AM18" s="13" t="n"/>
      <c r="AN18" s="13" t="n"/>
      <c r="AO18" s="14">
        <f>IF(B18="","",IF(AK18&lt;&gt;"","الأحد والأربعاء",IF(AL18&lt;&gt;"","الاثنين والخميس",IF(AM18&lt;&gt;"","الثلاثاء والجمعة",IF(AN18&lt;&gt;"","كل الأيام","")))))</f>
        <v/>
      </c>
      <c r="AP18" s="13" t="n"/>
      <c r="AQ18" s="13" t="n"/>
      <c r="AR18" s="13" t="n"/>
      <c r="AS18" s="13" t="n"/>
      <c r="AT18" s="14">
        <f>IF(B18="","",IF(AP18&lt;&gt;"","09:00-10:00",IF(AQ18&lt;&gt;"","10:00-11:00",IF(AR18&lt;&gt;"","19:00-20:00",IF(AS18&lt;&gt;"","20:00-21:00","")))))</f>
        <v/>
      </c>
      <c r="AU18" s="19">
        <f>IF(B18="","",COUNTA(التجديد!E18:E18))</f>
        <v/>
      </c>
    </row>
    <row r="19" ht="22" customHeight="1">
      <c r="A19" s="10">
        <f>IF(B19="","","RCS "&amp;TEXT(ROW()-2,"000"))</f>
        <v/>
      </c>
      <c r="B19" s="11" t="n"/>
      <c r="C19" s="11" t="n"/>
      <c r="D19" s="12" t="n"/>
      <c r="E19" s="13" t="n"/>
      <c r="F19" s="13" t="n"/>
      <c r="G19" s="14">
        <f>IF(B19="","",IF(E19&lt;&gt;"","ذكر",IF(F19&lt;&gt;"","أنثى","")))</f>
        <v/>
      </c>
      <c r="H19" s="14">
        <f>IF(D19="","",DATEDIF(D19,TODAY(),"Y"))</f>
        <v/>
      </c>
      <c r="I19" s="13" t="n"/>
      <c r="J19" s="13" t="n"/>
      <c r="K19" s="13" t="n"/>
      <c r="L19" s="13" t="n"/>
      <c r="M19" s="13" t="n"/>
      <c r="N19" s="13" t="n"/>
      <c r="O19" s="13" t="n"/>
      <c r="P19" s="13" t="n"/>
      <c r="Q19" s="14">
        <f>IF(B19="","",IF(I19&lt;&gt;"","A+",IF(J19&lt;&gt;"","A-",IF(K19&lt;&gt;"","B+",IF(L19&lt;&gt;"","B-",IF(M19&lt;&gt;"","O+",IF(N19&lt;&gt;"","O-",IF(O19&lt;&gt;"","AB+",IF(P19&lt;&gt;"","AB-",""))))))))</f>
        <v/>
      </c>
      <c r="R19" s="13" t="n"/>
      <c r="S19" s="13" t="n"/>
      <c r="T19" s="13" t="n"/>
      <c r="U19" s="13" t="n"/>
      <c r="V19" s="13" t="n"/>
      <c r="W19" s="13" t="n"/>
      <c r="X19" s="14">
        <f>IF(B19="","",IF(R19&lt;&gt;"","/",IF(S19&lt;&gt;"","OPOW",IF(T19&lt;&gt;"","DJS",IF(U19&lt;&gt;"","FCS",IF(V19&lt;&gt;"","RCS",IF(W19&lt;&gt;"","POLICE","")))))))</f>
        <v/>
      </c>
      <c r="Y19" s="12" t="n"/>
      <c r="Z19" s="15">
        <f>IF(Y19="","",Y19+30)</f>
        <v/>
      </c>
      <c r="AA19" s="13" t="n"/>
      <c r="AB19" s="13" t="n"/>
      <c r="AC19" s="13" t="n"/>
      <c r="AD19" s="13" t="n"/>
      <c r="AE19" s="14">
        <f>IF(B19="","",IF(AA19&lt;&gt;"","مدفوع",IF(AB19&lt;&gt;"","لم يدفع",IF(AC19&lt;&gt;"","تأمين فقط",IF(AD19&lt;&gt;"","اشتراك 300","")))))</f>
        <v/>
      </c>
      <c r="AF19" s="16">
        <f>IF(OR(AE19="لم يدفع",B19=""),"",IF(OR(AE19="تأمين فقط",X19="FCS",X19="RCS"),0,IF(OR(AE19="اشتراك 300",X19="POLICE",X19="OPOW",X19="DJS"),300,IF(H19&lt;14,1300,1500))))</f>
        <v/>
      </c>
      <c r="AG19" s="16">
        <f>IF(OR(AE19="لم يدفع",B19=""),"",500)</f>
        <v/>
      </c>
      <c r="AH19" s="16">
        <f>IF(OR(AE19="لم يدفع",AE19="تأمين فقط",AE19="اشتراك 300",X19="OPOW",X19="DJS",X19="FCS",X19="RCS",X19="POLICE",B19=""),"",1000)</f>
        <v/>
      </c>
      <c r="AI19" s="17">
        <f>IF(AE19="لم يدفع","",IF(AF19="","",AF19+AG19))</f>
        <v/>
      </c>
      <c r="AJ19" s="18">
        <f>IF(B19="","",IF(AE19="لم يدفع","🔒 مجمدة",IF(Z19="","",IF(Z19&lt;TODAY(),"⛔ منتهي - يتطلب تجديد",IF(Z19-5&lt;=TODAY(),"⚠️ قريب الانتهاء","✅ ساري")))))</f>
        <v/>
      </c>
      <c r="AK19" s="13" t="n"/>
      <c r="AL19" s="13" t="n"/>
      <c r="AM19" s="13" t="n"/>
      <c r="AN19" s="13" t="n"/>
      <c r="AO19" s="14">
        <f>IF(B19="","",IF(AK19&lt;&gt;"","الأحد والأربعاء",IF(AL19&lt;&gt;"","الاثنين والخميس",IF(AM19&lt;&gt;"","الثلاثاء والجمعة",IF(AN19&lt;&gt;"","كل الأيام","")))))</f>
        <v/>
      </c>
      <c r="AP19" s="13" t="n"/>
      <c r="AQ19" s="13" t="n"/>
      <c r="AR19" s="13" t="n"/>
      <c r="AS19" s="13" t="n"/>
      <c r="AT19" s="14">
        <f>IF(B19="","",IF(AP19&lt;&gt;"","09:00-10:00",IF(AQ19&lt;&gt;"","10:00-11:00",IF(AR19&lt;&gt;"","19:00-20:00",IF(AS19&lt;&gt;"","20:00-21:00","")))))</f>
        <v/>
      </c>
      <c r="AU19" s="19">
        <f>IF(B19="","",COUNTA(التجديد!E19:E19))</f>
        <v/>
      </c>
    </row>
    <row r="20" ht="22" customHeight="1">
      <c r="A20" s="10">
        <f>IF(B20="","","RCS "&amp;TEXT(ROW()-2,"000"))</f>
        <v/>
      </c>
      <c r="B20" s="11" t="n"/>
      <c r="C20" s="11" t="n"/>
      <c r="D20" s="12" t="n"/>
      <c r="E20" s="13" t="n"/>
      <c r="F20" s="13" t="n"/>
      <c r="G20" s="14">
        <f>IF(B20="","",IF(E20&lt;&gt;"","ذكر",IF(F20&lt;&gt;"","أنثى","")))</f>
        <v/>
      </c>
      <c r="H20" s="14">
        <f>IF(D20="","",DATEDIF(D20,TODAY(),"Y"))</f>
        <v/>
      </c>
      <c r="I20" s="13" t="n"/>
      <c r="J20" s="13" t="n"/>
      <c r="K20" s="13" t="n"/>
      <c r="L20" s="13" t="n"/>
      <c r="M20" s="13" t="n"/>
      <c r="N20" s="13" t="n"/>
      <c r="O20" s="13" t="n"/>
      <c r="P20" s="13" t="n"/>
      <c r="Q20" s="14">
        <f>IF(B20="","",IF(I20&lt;&gt;"","A+",IF(J20&lt;&gt;"","A-",IF(K20&lt;&gt;"","B+",IF(L20&lt;&gt;"","B-",IF(M20&lt;&gt;"","O+",IF(N20&lt;&gt;"","O-",IF(O20&lt;&gt;"","AB+",IF(P20&lt;&gt;"","AB-",""))))))))</f>
        <v/>
      </c>
      <c r="R20" s="13" t="n"/>
      <c r="S20" s="13" t="n"/>
      <c r="T20" s="13" t="n"/>
      <c r="U20" s="13" t="n"/>
      <c r="V20" s="13" t="n"/>
      <c r="W20" s="13" t="n"/>
      <c r="X20" s="14">
        <f>IF(B20="","",IF(R20&lt;&gt;"","/",IF(S20&lt;&gt;"","OPOW",IF(T20&lt;&gt;"","DJS",IF(U20&lt;&gt;"","FCS",IF(V20&lt;&gt;"","RCS",IF(W20&lt;&gt;"","POLICE","")))))))</f>
        <v/>
      </c>
      <c r="Y20" s="12" t="n"/>
      <c r="Z20" s="15">
        <f>IF(Y20="","",Y20+30)</f>
        <v/>
      </c>
      <c r="AA20" s="13" t="n"/>
      <c r="AB20" s="13" t="n"/>
      <c r="AC20" s="13" t="n"/>
      <c r="AD20" s="13" t="n"/>
      <c r="AE20" s="14">
        <f>IF(B20="","",IF(AA20&lt;&gt;"","مدفوع",IF(AB20&lt;&gt;"","لم يدفع",IF(AC20&lt;&gt;"","تأمين فقط",IF(AD20&lt;&gt;"","اشتراك 300","")))))</f>
        <v/>
      </c>
      <c r="AF20" s="16">
        <f>IF(OR(AE20="لم يدفع",B20=""),"",IF(OR(AE20="تأمين فقط",X20="FCS",X20="RCS"),0,IF(OR(AE20="اشتراك 300",X20="POLICE",X20="OPOW",X20="DJS"),300,IF(H20&lt;14,1300,1500))))</f>
        <v/>
      </c>
      <c r="AG20" s="16">
        <f>IF(OR(AE20="لم يدفع",B20=""),"",500)</f>
        <v/>
      </c>
      <c r="AH20" s="16">
        <f>IF(OR(AE20="لم يدفع",AE20="تأمين فقط",AE20="اشتراك 300",X20="OPOW",X20="DJS",X20="FCS",X20="RCS",X20="POLICE",B20=""),"",1000)</f>
        <v/>
      </c>
      <c r="AI20" s="17">
        <f>IF(AE20="لم يدفع","",IF(AF20="","",AF20+AG20))</f>
        <v/>
      </c>
      <c r="AJ20" s="18">
        <f>IF(B20="","",IF(AE20="لم يدفع","🔒 مجمدة",IF(Z20="","",IF(Z20&lt;TODAY(),"⛔ منتهي - يتطلب تجديد",IF(Z20-5&lt;=TODAY(),"⚠️ قريب الانتهاء","✅ ساري")))))</f>
        <v/>
      </c>
      <c r="AK20" s="13" t="n"/>
      <c r="AL20" s="13" t="n"/>
      <c r="AM20" s="13" t="n"/>
      <c r="AN20" s="13" t="n"/>
      <c r="AO20" s="14">
        <f>IF(B20="","",IF(AK20&lt;&gt;"","الأحد والأربعاء",IF(AL20&lt;&gt;"","الاثنين والخميس",IF(AM20&lt;&gt;"","الثلاثاء والجمعة",IF(AN20&lt;&gt;"","كل الأيام","")))))</f>
        <v/>
      </c>
      <c r="AP20" s="13" t="n"/>
      <c r="AQ20" s="13" t="n"/>
      <c r="AR20" s="13" t="n"/>
      <c r="AS20" s="13" t="n"/>
      <c r="AT20" s="14">
        <f>IF(B20="","",IF(AP20&lt;&gt;"","09:00-10:00",IF(AQ20&lt;&gt;"","10:00-11:00",IF(AR20&lt;&gt;"","19:00-20:00",IF(AS20&lt;&gt;"","20:00-21:00","")))))</f>
        <v/>
      </c>
      <c r="AU20" s="19">
        <f>IF(B20="","",COUNTA(التجديد!E20:E20))</f>
        <v/>
      </c>
    </row>
    <row r="21" ht="22" customHeight="1">
      <c r="A21" s="10">
        <f>IF(B21="","","RCS "&amp;TEXT(ROW()-2,"000"))</f>
        <v/>
      </c>
      <c r="B21" s="11" t="n"/>
      <c r="C21" s="11" t="n"/>
      <c r="D21" s="12" t="n"/>
      <c r="E21" s="13" t="n"/>
      <c r="F21" s="13" t="n"/>
      <c r="G21" s="14">
        <f>IF(B21="","",IF(E21&lt;&gt;"","ذكر",IF(F21&lt;&gt;"","أنثى","")))</f>
        <v/>
      </c>
      <c r="H21" s="14">
        <f>IF(D21="","",DATEDIF(D21,TODAY(),"Y"))</f>
        <v/>
      </c>
      <c r="I21" s="13" t="n"/>
      <c r="J21" s="13" t="n"/>
      <c r="K21" s="13" t="n"/>
      <c r="L21" s="13" t="n"/>
      <c r="M21" s="13" t="n"/>
      <c r="N21" s="13" t="n"/>
      <c r="O21" s="13" t="n"/>
      <c r="P21" s="13" t="n"/>
      <c r="Q21" s="14">
        <f>IF(B21="","",IF(I21&lt;&gt;"","A+",IF(J21&lt;&gt;"","A-",IF(K21&lt;&gt;"","B+",IF(L21&lt;&gt;"","B-",IF(M21&lt;&gt;"","O+",IF(N21&lt;&gt;"","O-",IF(O21&lt;&gt;"","AB+",IF(P21&lt;&gt;"","AB-",""))))))))</f>
        <v/>
      </c>
      <c r="R21" s="13" t="n"/>
      <c r="S21" s="13" t="n"/>
      <c r="T21" s="13" t="n"/>
      <c r="U21" s="13" t="n"/>
      <c r="V21" s="13" t="n"/>
      <c r="W21" s="13" t="n"/>
      <c r="X21" s="14">
        <f>IF(B21="","",IF(R21&lt;&gt;"","/",IF(S21&lt;&gt;"","OPOW",IF(T21&lt;&gt;"","DJS",IF(U21&lt;&gt;"","FCS",IF(V21&lt;&gt;"","RCS",IF(W21&lt;&gt;"","POLICE","")))))))</f>
        <v/>
      </c>
      <c r="Y21" s="12" t="n"/>
      <c r="Z21" s="15">
        <f>IF(Y21="","",Y21+30)</f>
        <v/>
      </c>
      <c r="AA21" s="13" t="n"/>
      <c r="AB21" s="13" t="n"/>
      <c r="AC21" s="13" t="n"/>
      <c r="AD21" s="13" t="n"/>
      <c r="AE21" s="14">
        <f>IF(B21="","",IF(AA21&lt;&gt;"","مدفوع",IF(AB21&lt;&gt;"","لم يدفع",IF(AC21&lt;&gt;"","تأمين فقط",IF(AD21&lt;&gt;"","اشتراك 300","")))))</f>
        <v/>
      </c>
      <c r="AF21" s="16">
        <f>IF(OR(AE21="لم يدفع",B21=""),"",IF(OR(AE21="تأمين فقط",X21="FCS",X21="RCS"),0,IF(OR(AE21="اشتراك 300",X21="POLICE",X21="OPOW",X21="DJS"),300,IF(H21&lt;14,1300,1500))))</f>
        <v/>
      </c>
      <c r="AG21" s="16">
        <f>IF(OR(AE21="لم يدفع",B21=""),"",500)</f>
        <v/>
      </c>
      <c r="AH21" s="16">
        <f>IF(OR(AE21="لم يدفع",AE21="تأمين فقط",AE21="اشتراك 300",X21="OPOW",X21="DJS",X21="FCS",X21="RCS",X21="POLICE",B21=""),"",1000)</f>
        <v/>
      </c>
      <c r="AI21" s="17">
        <f>IF(AE21="لم يدفع","",IF(AF21="","",AF21+AG21))</f>
        <v/>
      </c>
      <c r="AJ21" s="18">
        <f>IF(B21="","",IF(AE21="لم يدفع","🔒 مجمدة",IF(Z21="","",IF(Z21&lt;TODAY(),"⛔ منتهي - يتطلب تجديد",IF(Z21-5&lt;=TODAY(),"⚠️ قريب الانتهاء","✅ ساري")))))</f>
        <v/>
      </c>
      <c r="AK21" s="13" t="n"/>
      <c r="AL21" s="13" t="n"/>
      <c r="AM21" s="13" t="n"/>
      <c r="AN21" s="13" t="n"/>
      <c r="AO21" s="14">
        <f>IF(B21="","",IF(AK21&lt;&gt;"","الأحد والأربعاء",IF(AL21&lt;&gt;"","الاثنين والخميس",IF(AM21&lt;&gt;"","الثلاثاء والجمعة",IF(AN21&lt;&gt;"","كل الأيام","")))))</f>
        <v/>
      </c>
      <c r="AP21" s="13" t="n"/>
      <c r="AQ21" s="13" t="n"/>
      <c r="AR21" s="13" t="n"/>
      <c r="AS21" s="13" t="n"/>
      <c r="AT21" s="14">
        <f>IF(B21="","",IF(AP21&lt;&gt;"","09:00-10:00",IF(AQ21&lt;&gt;"","10:00-11:00",IF(AR21&lt;&gt;"","19:00-20:00",IF(AS21&lt;&gt;"","20:00-21:00","")))))</f>
        <v/>
      </c>
      <c r="AU21" s="19">
        <f>IF(B21="","",COUNTA(التجديد!E21:E21))</f>
        <v/>
      </c>
    </row>
    <row r="22" ht="22" customHeight="1">
      <c r="A22" s="10">
        <f>IF(B22="","","RCS "&amp;TEXT(ROW()-2,"000"))</f>
        <v/>
      </c>
      <c r="B22" s="11" t="n"/>
      <c r="C22" s="11" t="n"/>
      <c r="D22" s="12" t="n"/>
      <c r="E22" s="13" t="n"/>
      <c r="F22" s="13" t="n"/>
      <c r="G22" s="14">
        <f>IF(B22="","",IF(E22&lt;&gt;"","ذكر",IF(F22&lt;&gt;"","أنثى","")))</f>
        <v/>
      </c>
      <c r="H22" s="14">
        <f>IF(D22="","",DATEDIF(D22,TODAY(),"Y"))</f>
        <v/>
      </c>
      <c r="I22" s="13" t="n"/>
      <c r="J22" s="13" t="n"/>
      <c r="K22" s="13" t="n"/>
      <c r="L22" s="13" t="n"/>
      <c r="M22" s="13" t="n"/>
      <c r="N22" s="13" t="n"/>
      <c r="O22" s="13" t="n"/>
      <c r="P22" s="13" t="n"/>
      <c r="Q22" s="14">
        <f>IF(B22="","",IF(I22&lt;&gt;"","A+",IF(J22&lt;&gt;"","A-",IF(K22&lt;&gt;"","B+",IF(L22&lt;&gt;"","B-",IF(M22&lt;&gt;"","O+",IF(N22&lt;&gt;"","O-",IF(O22&lt;&gt;"","AB+",IF(P22&lt;&gt;"","AB-",""))))))))</f>
        <v/>
      </c>
      <c r="R22" s="13" t="n"/>
      <c r="S22" s="13" t="n"/>
      <c r="T22" s="13" t="n"/>
      <c r="U22" s="13" t="n"/>
      <c r="V22" s="13" t="n"/>
      <c r="W22" s="13" t="n"/>
      <c r="X22" s="14">
        <f>IF(B22="","",IF(R22&lt;&gt;"","/",IF(S22&lt;&gt;"","OPOW",IF(T22&lt;&gt;"","DJS",IF(U22&lt;&gt;"","FCS",IF(V22&lt;&gt;"","RCS",IF(W22&lt;&gt;"","POLICE","")))))))</f>
        <v/>
      </c>
      <c r="Y22" s="12" t="n"/>
      <c r="Z22" s="15">
        <f>IF(Y22="","",Y22+30)</f>
        <v/>
      </c>
      <c r="AA22" s="13" t="n"/>
      <c r="AB22" s="13" t="n"/>
      <c r="AC22" s="13" t="n"/>
      <c r="AD22" s="13" t="n"/>
      <c r="AE22" s="14">
        <f>IF(B22="","",IF(AA22&lt;&gt;"","مدفوع",IF(AB22&lt;&gt;"","لم يدفع",IF(AC22&lt;&gt;"","تأمين فقط",IF(AD22&lt;&gt;"","اشتراك 300","")))))</f>
        <v/>
      </c>
      <c r="AF22" s="16">
        <f>IF(OR(AE22="لم يدفع",B22=""),"",IF(OR(AE22="تأمين فقط",X22="FCS",X22="RCS"),0,IF(OR(AE22="اشتراك 300",X22="POLICE",X22="OPOW",X22="DJS"),300,IF(H22&lt;14,1300,1500))))</f>
        <v/>
      </c>
      <c r="AG22" s="16">
        <f>IF(OR(AE22="لم يدفع",B22=""),"",500)</f>
        <v/>
      </c>
      <c r="AH22" s="16">
        <f>IF(OR(AE22="لم يدفع",AE22="تأمين فقط",AE22="اشتراك 300",X22="OPOW",X22="DJS",X22="FCS",X22="RCS",X22="POLICE",B22=""),"",1000)</f>
        <v/>
      </c>
      <c r="AI22" s="17">
        <f>IF(AE22="لم يدفع","",IF(AF22="","",AF22+AG22))</f>
        <v/>
      </c>
      <c r="AJ22" s="18">
        <f>IF(B22="","",IF(AE22="لم يدفع","🔒 مجمدة",IF(Z22="","",IF(Z22&lt;TODAY(),"⛔ منتهي - يتطلب تجديد",IF(Z22-5&lt;=TODAY(),"⚠️ قريب الانتهاء","✅ ساري")))))</f>
        <v/>
      </c>
      <c r="AK22" s="13" t="n"/>
      <c r="AL22" s="13" t="n"/>
      <c r="AM22" s="13" t="n"/>
      <c r="AN22" s="13" t="n"/>
      <c r="AO22" s="14">
        <f>IF(B22="","",IF(AK22&lt;&gt;"","الأحد والأربعاء",IF(AL22&lt;&gt;"","الاثنين والخميس",IF(AM22&lt;&gt;"","الثلاثاء والجمعة",IF(AN22&lt;&gt;"","كل الأيام","")))))</f>
        <v/>
      </c>
      <c r="AP22" s="13" t="n"/>
      <c r="AQ22" s="13" t="n"/>
      <c r="AR22" s="13" t="n"/>
      <c r="AS22" s="13" t="n"/>
      <c r="AT22" s="14">
        <f>IF(B22="","",IF(AP22&lt;&gt;"","09:00-10:00",IF(AQ22&lt;&gt;"","10:00-11:00",IF(AR22&lt;&gt;"","19:00-20:00",IF(AS22&lt;&gt;"","20:00-21:00","")))))</f>
        <v/>
      </c>
      <c r="AU22" s="19">
        <f>IF(B22="","",COUNTA(التجديد!E22:E22))</f>
        <v/>
      </c>
    </row>
    <row r="23" ht="22" customHeight="1">
      <c r="A23" s="10">
        <f>IF(B23="","","RCS "&amp;TEXT(ROW()-2,"000"))</f>
        <v/>
      </c>
      <c r="B23" s="11" t="n"/>
      <c r="C23" s="11" t="n"/>
      <c r="D23" s="12" t="n"/>
      <c r="E23" s="13" t="n"/>
      <c r="F23" s="13" t="n"/>
      <c r="G23" s="14">
        <f>IF(B23="","",IF(E23&lt;&gt;"","ذكر",IF(F23&lt;&gt;"","أنثى","")))</f>
        <v/>
      </c>
      <c r="H23" s="14">
        <f>IF(D23="","",DATEDIF(D23,TODAY(),"Y"))</f>
        <v/>
      </c>
      <c r="I23" s="13" t="n"/>
      <c r="J23" s="13" t="n"/>
      <c r="K23" s="13" t="n"/>
      <c r="L23" s="13" t="n"/>
      <c r="M23" s="13" t="n"/>
      <c r="N23" s="13" t="n"/>
      <c r="O23" s="13" t="n"/>
      <c r="P23" s="13" t="n"/>
      <c r="Q23" s="14">
        <f>IF(B23="","",IF(I23&lt;&gt;"","A+",IF(J23&lt;&gt;"","A-",IF(K23&lt;&gt;"","B+",IF(L23&lt;&gt;"","B-",IF(M23&lt;&gt;"","O+",IF(N23&lt;&gt;"","O-",IF(O23&lt;&gt;"","AB+",IF(P23&lt;&gt;"","AB-",""))))))))</f>
        <v/>
      </c>
      <c r="R23" s="13" t="n"/>
      <c r="S23" s="13" t="n"/>
      <c r="T23" s="13" t="n"/>
      <c r="U23" s="13" t="n"/>
      <c r="V23" s="13" t="n"/>
      <c r="W23" s="13" t="n"/>
      <c r="X23" s="14">
        <f>IF(B23="","",IF(R23&lt;&gt;"","/",IF(S23&lt;&gt;"","OPOW",IF(T23&lt;&gt;"","DJS",IF(U23&lt;&gt;"","FCS",IF(V23&lt;&gt;"","RCS",IF(W23&lt;&gt;"","POLICE","")))))))</f>
        <v/>
      </c>
      <c r="Y23" s="12" t="n"/>
      <c r="Z23" s="15">
        <f>IF(Y23="","",Y23+30)</f>
        <v/>
      </c>
      <c r="AA23" s="13" t="n"/>
      <c r="AB23" s="13" t="n"/>
      <c r="AC23" s="13" t="n"/>
      <c r="AD23" s="13" t="n"/>
      <c r="AE23" s="14">
        <f>IF(B23="","",IF(AA23&lt;&gt;"","مدفوع",IF(AB23&lt;&gt;"","لم يدفع",IF(AC23&lt;&gt;"","تأمين فقط",IF(AD23&lt;&gt;"","اشتراك 300","")))))</f>
        <v/>
      </c>
      <c r="AF23" s="16">
        <f>IF(OR(AE23="لم يدفع",B23=""),"",IF(OR(AE23="تأمين فقط",X23="FCS",X23="RCS"),0,IF(OR(AE23="اشتراك 300",X23="POLICE",X23="OPOW",X23="DJS"),300,IF(H23&lt;14,1300,1500))))</f>
        <v/>
      </c>
      <c r="AG23" s="16">
        <f>IF(OR(AE23="لم يدفع",B23=""),"",500)</f>
        <v/>
      </c>
      <c r="AH23" s="16">
        <f>IF(OR(AE23="لم يدفع",AE23="تأمين فقط",AE23="اشتراك 300",X23="OPOW",X23="DJS",X23="FCS",X23="RCS",X23="POLICE",B23=""),"",1000)</f>
        <v/>
      </c>
      <c r="AI23" s="17">
        <f>IF(AE23="لم يدفع","",IF(AF23="","",AF23+AG23))</f>
        <v/>
      </c>
      <c r="AJ23" s="18">
        <f>IF(B23="","",IF(AE23="لم يدفع","🔒 مجمدة",IF(Z23="","",IF(Z23&lt;TODAY(),"⛔ منتهي - يتطلب تجديد",IF(Z23-5&lt;=TODAY(),"⚠️ قريب الانتهاء","✅ ساري")))))</f>
        <v/>
      </c>
      <c r="AK23" s="13" t="n"/>
      <c r="AL23" s="13" t="n"/>
      <c r="AM23" s="13" t="n"/>
      <c r="AN23" s="13" t="n"/>
      <c r="AO23" s="14">
        <f>IF(B23="","",IF(AK23&lt;&gt;"","الأحد والأربعاء",IF(AL23&lt;&gt;"","الاثنين والخميس",IF(AM23&lt;&gt;"","الثلاثاء والجمعة",IF(AN23&lt;&gt;"","كل الأيام","")))))</f>
        <v/>
      </c>
      <c r="AP23" s="13" t="n"/>
      <c r="AQ23" s="13" t="n"/>
      <c r="AR23" s="13" t="n"/>
      <c r="AS23" s="13" t="n"/>
      <c r="AT23" s="14">
        <f>IF(B23="","",IF(AP23&lt;&gt;"","09:00-10:00",IF(AQ23&lt;&gt;"","10:00-11:00",IF(AR23&lt;&gt;"","19:00-20:00",IF(AS23&lt;&gt;"","20:00-21:00","")))))</f>
        <v/>
      </c>
      <c r="AU23" s="19">
        <f>IF(B23="","",COUNTA(التجديد!E23:E23))</f>
        <v/>
      </c>
    </row>
    <row r="24" ht="22" customHeight="1">
      <c r="A24" s="10">
        <f>IF(B24="","","RCS "&amp;TEXT(ROW()-2,"000"))</f>
        <v/>
      </c>
      <c r="B24" s="11" t="n"/>
      <c r="C24" s="11" t="n"/>
      <c r="D24" s="12" t="n"/>
      <c r="E24" s="13" t="n"/>
      <c r="F24" s="13" t="n"/>
      <c r="G24" s="14">
        <f>IF(B24="","",IF(E24&lt;&gt;"","ذكر",IF(F24&lt;&gt;"","أنثى","")))</f>
        <v/>
      </c>
      <c r="H24" s="14">
        <f>IF(D24="","",DATEDIF(D24,TODAY(),"Y"))</f>
        <v/>
      </c>
      <c r="I24" s="13" t="n"/>
      <c r="J24" s="13" t="n"/>
      <c r="K24" s="13" t="n"/>
      <c r="L24" s="13" t="n"/>
      <c r="M24" s="13" t="n"/>
      <c r="N24" s="13" t="n"/>
      <c r="O24" s="13" t="n"/>
      <c r="P24" s="13" t="n"/>
      <c r="Q24" s="14">
        <f>IF(B24="","",IF(I24&lt;&gt;"","A+",IF(J24&lt;&gt;"","A-",IF(K24&lt;&gt;"","B+",IF(L24&lt;&gt;"","B-",IF(M24&lt;&gt;"","O+",IF(N24&lt;&gt;"","O-",IF(O24&lt;&gt;"","AB+",IF(P24&lt;&gt;"","AB-",""))))))))</f>
        <v/>
      </c>
      <c r="R24" s="13" t="n"/>
      <c r="S24" s="13" t="n"/>
      <c r="T24" s="13" t="n"/>
      <c r="U24" s="13" t="n"/>
      <c r="V24" s="13" t="n"/>
      <c r="W24" s="13" t="n"/>
      <c r="X24" s="14">
        <f>IF(B24="","",IF(R24&lt;&gt;"","/",IF(S24&lt;&gt;"","OPOW",IF(T24&lt;&gt;"","DJS",IF(U24&lt;&gt;"","FCS",IF(V24&lt;&gt;"","RCS",IF(W24&lt;&gt;"","POLICE","")))))))</f>
        <v/>
      </c>
      <c r="Y24" s="12" t="n"/>
      <c r="Z24" s="15">
        <f>IF(Y24="","",Y24+30)</f>
        <v/>
      </c>
      <c r="AA24" s="13" t="n"/>
      <c r="AB24" s="13" t="n"/>
      <c r="AC24" s="13" t="n"/>
      <c r="AD24" s="13" t="n"/>
      <c r="AE24" s="14">
        <f>IF(B24="","",IF(AA24&lt;&gt;"","مدفوع",IF(AB24&lt;&gt;"","لم يدفع",IF(AC24&lt;&gt;"","تأمين فقط",IF(AD24&lt;&gt;"","اشتراك 300","")))))</f>
        <v/>
      </c>
      <c r="AF24" s="16">
        <f>IF(OR(AE24="لم يدفع",B24=""),"",IF(OR(AE24="تأمين فقط",X24="FCS",X24="RCS"),0,IF(OR(AE24="اشتراك 300",X24="POLICE",X24="OPOW",X24="DJS"),300,IF(H24&lt;14,1300,1500))))</f>
        <v/>
      </c>
      <c r="AG24" s="16">
        <f>IF(OR(AE24="لم يدفع",B24=""),"",500)</f>
        <v/>
      </c>
      <c r="AH24" s="16">
        <f>IF(OR(AE24="لم يدفع",AE24="تأمين فقط",AE24="اشتراك 300",X24="OPOW",X24="DJS",X24="FCS",X24="RCS",X24="POLICE",B24=""),"",1000)</f>
        <v/>
      </c>
      <c r="AI24" s="17">
        <f>IF(AE24="لم يدفع","",IF(AF24="","",AF24+AG24))</f>
        <v/>
      </c>
      <c r="AJ24" s="18">
        <f>IF(B24="","",IF(AE24="لم يدفع","🔒 مجمدة",IF(Z24="","",IF(Z24&lt;TODAY(),"⛔ منتهي - يتطلب تجديد",IF(Z24-5&lt;=TODAY(),"⚠️ قريب الانتهاء","✅ ساري")))))</f>
        <v/>
      </c>
      <c r="AK24" s="13" t="n"/>
      <c r="AL24" s="13" t="n"/>
      <c r="AM24" s="13" t="n"/>
      <c r="AN24" s="13" t="n"/>
      <c r="AO24" s="14">
        <f>IF(B24="","",IF(AK24&lt;&gt;"","الأحد والأربعاء",IF(AL24&lt;&gt;"","الاثنين والخميس",IF(AM24&lt;&gt;"","الثلاثاء والجمعة",IF(AN24&lt;&gt;"","كل الأيام","")))))</f>
        <v/>
      </c>
      <c r="AP24" s="13" t="n"/>
      <c r="AQ24" s="13" t="n"/>
      <c r="AR24" s="13" t="n"/>
      <c r="AS24" s="13" t="n"/>
      <c r="AT24" s="14">
        <f>IF(B24="","",IF(AP24&lt;&gt;"","09:00-10:00",IF(AQ24&lt;&gt;"","10:00-11:00",IF(AR24&lt;&gt;"","19:00-20:00",IF(AS24&lt;&gt;"","20:00-21:00","")))))</f>
        <v/>
      </c>
      <c r="AU24" s="19">
        <f>IF(B24="","",COUNTA(التجديد!E24:E24))</f>
        <v/>
      </c>
    </row>
    <row r="25" ht="22" customHeight="1">
      <c r="A25" s="10">
        <f>IF(B25="","","RCS "&amp;TEXT(ROW()-2,"000"))</f>
        <v/>
      </c>
      <c r="B25" s="11" t="n"/>
      <c r="C25" s="11" t="n"/>
      <c r="D25" s="12" t="n"/>
      <c r="E25" s="13" t="n"/>
      <c r="F25" s="13" t="n"/>
      <c r="G25" s="14">
        <f>IF(B25="","",IF(E25&lt;&gt;"","ذكر",IF(F25&lt;&gt;"","أنثى","")))</f>
        <v/>
      </c>
      <c r="H25" s="14">
        <f>IF(D25="","",DATEDIF(D25,TODAY(),"Y"))</f>
        <v/>
      </c>
      <c r="I25" s="13" t="n"/>
      <c r="J25" s="13" t="n"/>
      <c r="K25" s="13" t="n"/>
      <c r="L25" s="13" t="n"/>
      <c r="M25" s="13" t="n"/>
      <c r="N25" s="13" t="n"/>
      <c r="O25" s="13" t="n"/>
      <c r="P25" s="13" t="n"/>
      <c r="Q25" s="14">
        <f>IF(B25="","",IF(I25&lt;&gt;"","A+",IF(J25&lt;&gt;"","A-",IF(K25&lt;&gt;"","B+",IF(L25&lt;&gt;"","B-",IF(M25&lt;&gt;"","O+",IF(N25&lt;&gt;"","O-",IF(O25&lt;&gt;"","AB+",IF(P25&lt;&gt;"","AB-",""))))))))</f>
        <v/>
      </c>
      <c r="R25" s="13" t="n"/>
      <c r="S25" s="13" t="n"/>
      <c r="T25" s="13" t="n"/>
      <c r="U25" s="13" t="n"/>
      <c r="V25" s="13" t="n"/>
      <c r="W25" s="13" t="n"/>
      <c r="X25" s="14">
        <f>IF(B25="","",IF(R25&lt;&gt;"","/",IF(S25&lt;&gt;"","OPOW",IF(T25&lt;&gt;"","DJS",IF(U25&lt;&gt;"","FCS",IF(V25&lt;&gt;"","RCS",IF(W25&lt;&gt;"","POLICE","")))))))</f>
        <v/>
      </c>
      <c r="Y25" s="12" t="n"/>
      <c r="Z25" s="15">
        <f>IF(Y25="","",Y25+30)</f>
        <v/>
      </c>
      <c r="AA25" s="13" t="n"/>
      <c r="AB25" s="13" t="n"/>
      <c r="AC25" s="13" t="n"/>
      <c r="AD25" s="13" t="n"/>
      <c r="AE25" s="14">
        <f>IF(B25="","",IF(AA25&lt;&gt;"","مدفوع",IF(AB25&lt;&gt;"","لم يدفع",IF(AC25&lt;&gt;"","تأمين فقط",IF(AD25&lt;&gt;"","اشتراك 300","")))))</f>
        <v/>
      </c>
      <c r="AF25" s="16">
        <f>IF(OR(AE25="لم يدفع",B25=""),"",IF(OR(AE25="تأمين فقط",X25="FCS",X25="RCS"),0,IF(OR(AE25="اشتراك 300",X25="POLICE",X25="OPOW",X25="DJS"),300,IF(H25&lt;14,1300,1500))))</f>
        <v/>
      </c>
      <c r="AG25" s="16">
        <f>IF(OR(AE25="لم يدفع",B25=""),"",500)</f>
        <v/>
      </c>
      <c r="AH25" s="16">
        <f>IF(OR(AE25="لم يدفع",AE25="تأمين فقط",AE25="اشتراك 300",X25="OPOW",X25="DJS",X25="FCS",X25="RCS",X25="POLICE",B25=""),"",1000)</f>
        <v/>
      </c>
      <c r="AI25" s="17">
        <f>IF(AE25="لم يدفع","",IF(AF25="","",AF25+AG25))</f>
        <v/>
      </c>
      <c r="AJ25" s="18">
        <f>IF(B25="","",IF(AE25="لم يدفع","🔒 مجمدة",IF(Z25="","",IF(Z25&lt;TODAY(),"⛔ منتهي - يتطلب تجديد",IF(Z25-5&lt;=TODAY(),"⚠️ قريب الانتهاء","✅ ساري")))))</f>
        <v/>
      </c>
      <c r="AK25" s="13" t="n"/>
      <c r="AL25" s="13" t="n"/>
      <c r="AM25" s="13" t="n"/>
      <c r="AN25" s="13" t="n"/>
      <c r="AO25" s="14">
        <f>IF(B25="","",IF(AK25&lt;&gt;"","الأحد والأربعاء",IF(AL25&lt;&gt;"","الاثنين والخميس",IF(AM25&lt;&gt;"","الثلاثاء والجمعة",IF(AN25&lt;&gt;"","كل الأيام","")))))</f>
        <v/>
      </c>
      <c r="AP25" s="13" t="n"/>
      <c r="AQ25" s="13" t="n"/>
      <c r="AR25" s="13" t="n"/>
      <c r="AS25" s="13" t="n"/>
      <c r="AT25" s="14">
        <f>IF(B25="","",IF(AP25&lt;&gt;"","09:00-10:00",IF(AQ25&lt;&gt;"","10:00-11:00",IF(AR25&lt;&gt;"","19:00-20:00",IF(AS25&lt;&gt;"","20:00-21:00","")))))</f>
        <v/>
      </c>
      <c r="AU25" s="19">
        <f>IF(B25="","",COUNTA(التجديد!E25:E25))</f>
        <v/>
      </c>
    </row>
    <row r="26" ht="22" customHeight="1">
      <c r="A26" s="10">
        <f>IF(B26="","","RCS "&amp;TEXT(ROW()-2,"000"))</f>
        <v/>
      </c>
      <c r="B26" s="11" t="n"/>
      <c r="C26" s="11" t="n"/>
      <c r="D26" s="12" t="n"/>
      <c r="E26" s="13" t="n"/>
      <c r="F26" s="13" t="n"/>
      <c r="G26" s="14">
        <f>IF(B26="","",IF(E26&lt;&gt;"","ذكر",IF(F26&lt;&gt;"","أنثى","")))</f>
        <v/>
      </c>
      <c r="H26" s="14">
        <f>IF(D26="","",DATEDIF(D26,TODAY(),"Y"))</f>
        <v/>
      </c>
      <c r="I26" s="13" t="n"/>
      <c r="J26" s="13" t="n"/>
      <c r="K26" s="13" t="n"/>
      <c r="L26" s="13" t="n"/>
      <c r="M26" s="13" t="n"/>
      <c r="N26" s="13" t="n"/>
      <c r="O26" s="13" t="n"/>
      <c r="P26" s="13" t="n"/>
      <c r="Q26" s="14">
        <f>IF(B26="","",IF(I26&lt;&gt;"","A+",IF(J26&lt;&gt;"","A-",IF(K26&lt;&gt;"","B+",IF(L26&lt;&gt;"","B-",IF(M26&lt;&gt;"","O+",IF(N26&lt;&gt;"","O-",IF(O26&lt;&gt;"","AB+",IF(P26&lt;&gt;"","AB-",""))))))))</f>
        <v/>
      </c>
      <c r="R26" s="13" t="n"/>
      <c r="S26" s="13" t="n"/>
      <c r="T26" s="13" t="n"/>
      <c r="U26" s="13" t="n"/>
      <c r="V26" s="13" t="n"/>
      <c r="W26" s="13" t="n"/>
      <c r="X26" s="14">
        <f>IF(B26="","",IF(R26&lt;&gt;"","/",IF(S26&lt;&gt;"","OPOW",IF(T26&lt;&gt;"","DJS",IF(U26&lt;&gt;"","FCS",IF(V26&lt;&gt;"","RCS",IF(W26&lt;&gt;"","POLICE","")))))))</f>
        <v/>
      </c>
      <c r="Y26" s="12" t="n"/>
      <c r="Z26" s="15">
        <f>IF(Y26="","",Y26+30)</f>
        <v/>
      </c>
      <c r="AA26" s="13" t="n"/>
      <c r="AB26" s="13" t="n"/>
      <c r="AC26" s="13" t="n"/>
      <c r="AD26" s="13" t="n"/>
      <c r="AE26" s="14">
        <f>IF(B26="","",IF(AA26&lt;&gt;"","مدفوع",IF(AB26&lt;&gt;"","لم يدفع",IF(AC26&lt;&gt;"","تأمين فقط",IF(AD26&lt;&gt;"","اشتراك 300","")))))</f>
        <v/>
      </c>
      <c r="AF26" s="16">
        <f>IF(OR(AE26="لم يدفع",B26=""),"",IF(OR(AE26="تأمين فقط",X26="FCS",X26="RCS"),0,IF(OR(AE26="اشتراك 300",X26="POLICE",X26="OPOW",X26="DJS"),300,IF(H26&lt;14,1300,1500))))</f>
        <v/>
      </c>
      <c r="AG26" s="16">
        <f>IF(OR(AE26="لم يدفع",B26=""),"",500)</f>
        <v/>
      </c>
      <c r="AH26" s="16">
        <f>IF(OR(AE26="لم يدفع",AE26="تأمين فقط",AE26="اشتراك 300",X26="OPOW",X26="DJS",X26="FCS",X26="RCS",X26="POLICE",B26=""),"",1000)</f>
        <v/>
      </c>
      <c r="AI26" s="17">
        <f>IF(AE26="لم يدفع","",IF(AF26="","",AF26+AG26))</f>
        <v/>
      </c>
      <c r="AJ26" s="18">
        <f>IF(B26="","",IF(AE26="لم يدفع","🔒 مجمدة",IF(Z26="","",IF(Z26&lt;TODAY(),"⛔ منتهي - يتطلب تجديد",IF(Z26-5&lt;=TODAY(),"⚠️ قريب الانتهاء","✅ ساري")))))</f>
        <v/>
      </c>
      <c r="AK26" s="13" t="n"/>
      <c r="AL26" s="13" t="n"/>
      <c r="AM26" s="13" t="n"/>
      <c r="AN26" s="13" t="n"/>
      <c r="AO26" s="14">
        <f>IF(B26="","",IF(AK26&lt;&gt;"","الأحد والأربعاء",IF(AL26&lt;&gt;"","الاثنين والخميس",IF(AM26&lt;&gt;"","الثلاثاء والجمعة",IF(AN26&lt;&gt;"","كل الأيام","")))))</f>
        <v/>
      </c>
      <c r="AP26" s="13" t="n"/>
      <c r="AQ26" s="13" t="n"/>
      <c r="AR26" s="13" t="n"/>
      <c r="AS26" s="13" t="n"/>
      <c r="AT26" s="14">
        <f>IF(B26="","",IF(AP26&lt;&gt;"","09:00-10:00",IF(AQ26&lt;&gt;"","10:00-11:00",IF(AR26&lt;&gt;"","19:00-20:00",IF(AS26&lt;&gt;"","20:00-21:00","")))))</f>
        <v/>
      </c>
      <c r="AU26" s="19">
        <f>IF(B26="","",COUNTA(التجديد!E26:E26))</f>
        <v/>
      </c>
    </row>
    <row r="27" ht="22" customHeight="1">
      <c r="A27" s="10">
        <f>IF(B27="","","RCS "&amp;TEXT(ROW()-2,"000"))</f>
        <v/>
      </c>
      <c r="B27" s="11" t="n"/>
      <c r="C27" s="11" t="n"/>
      <c r="D27" s="12" t="n"/>
      <c r="E27" s="13" t="n"/>
      <c r="F27" s="13" t="n"/>
      <c r="G27" s="14">
        <f>IF(B27="","",IF(E27&lt;&gt;"","ذكر",IF(F27&lt;&gt;"","أنثى","")))</f>
        <v/>
      </c>
      <c r="H27" s="14">
        <f>IF(D27="","",DATEDIF(D27,TODAY(),"Y"))</f>
        <v/>
      </c>
      <c r="I27" s="13" t="n"/>
      <c r="J27" s="13" t="n"/>
      <c r="K27" s="13" t="n"/>
      <c r="L27" s="13" t="n"/>
      <c r="M27" s="13" t="n"/>
      <c r="N27" s="13" t="n"/>
      <c r="O27" s="13" t="n"/>
      <c r="P27" s="13" t="n"/>
      <c r="Q27" s="14">
        <f>IF(B27="","",IF(I27&lt;&gt;"","A+",IF(J27&lt;&gt;"","A-",IF(K27&lt;&gt;"","B+",IF(L27&lt;&gt;"","B-",IF(M27&lt;&gt;"","O+",IF(N27&lt;&gt;"","O-",IF(O27&lt;&gt;"","AB+",IF(P27&lt;&gt;"","AB-",""))))))))</f>
        <v/>
      </c>
      <c r="R27" s="13" t="n"/>
      <c r="S27" s="13" t="n"/>
      <c r="T27" s="13" t="n"/>
      <c r="U27" s="13" t="n"/>
      <c r="V27" s="13" t="n"/>
      <c r="W27" s="13" t="n"/>
      <c r="X27" s="14">
        <f>IF(B27="","",IF(R27&lt;&gt;"","/",IF(S27&lt;&gt;"","OPOW",IF(T27&lt;&gt;"","DJS",IF(U27&lt;&gt;"","FCS",IF(V27&lt;&gt;"","RCS",IF(W27&lt;&gt;"","POLICE","")))))))</f>
        <v/>
      </c>
      <c r="Y27" s="12" t="n"/>
      <c r="Z27" s="15">
        <f>IF(Y27="","",Y27+30)</f>
        <v/>
      </c>
      <c r="AA27" s="13" t="n"/>
      <c r="AB27" s="13" t="n"/>
      <c r="AC27" s="13" t="n"/>
      <c r="AD27" s="13" t="n"/>
      <c r="AE27" s="14">
        <f>IF(B27="","",IF(AA27&lt;&gt;"","مدفوع",IF(AB27&lt;&gt;"","لم يدفع",IF(AC27&lt;&gt;"","تأمين فقط",IF(AD27&lt;&gt;"","اشتراك 300","")))))</f>
        <v/>
      </c>
      <c r="AF27" s="16">
        <f>IF(OR(AE27="لم يدفع",B27=""),"",IF(OR(AE27="تأمين فقط",X27="FCS",X27="RCS"),0,IF(OR(AE27="اشتراك 300",X27="POLICE",X27="OPOW",X27="DJS"),300,IF(H27&lt;14,1300,1500))))</f>
        <v/>
      </c>
      <c r="AG27" s="16">
        <f>IF(OR(AE27="لم يدفع",B27=""),"",500)</f>
        <v/>
      </c>
      <c r="AH27" s="16">
        <f>IF(OR(AE27="لم يدفع",AE27="تأمين فقط",AE27="اشتراك 300",X27="OPOW",X27="DJS",X27="FCS",X27="RCS",X27="POLICE",B27=""),"",1000)</f>
        <v/>
      </c>
      <c r="AI27" s="17">
        <f>IF(AE27="لم يدفع","",IF(AF27="","",AF27+AG27))</f>
        <v/>
      </c>
      <c r="AJ27" s="18">
        <f>IF(B27="","",IF(AE27="لم يدفع","🔒 مجمدة",IF(Z27="","",IF(Z27&lt;TODAY(),"⛔ منتهي - يتطلب تجديد",IF(Z27-5&lt;=TODAY(),"⚠️ قريب الانتهاء","✅ ساري")))))</f>
        <v/>
      </c>
      <c r="AK27" s="13" t="n"/>
      <c r="AL27" s="13" t="n"/>
      <c r="AM27" s="13" t="n"/>
      <c r="AN27" s="13" t="n"/>
      <c r="AO27" s="14">
        <f>IF(B27="","",IF(AK27&lt;&gt;"","الأحد والأربعاء",IF(AL27&lt;&gt;"","الاثنين والخميس",IF(AM27&lt;&gt;"","الثلاثاء والجمعة",IF(AN27&lt;&gt;"","كل الأيام","")))))</f>
        <v/>
      </c>
      <c r="AP27" s="13" t="n"/>
      <c r="AQ27" s="13" t="n"/>
      <c r="AR27" s="13" t="n"/>
      <c r="AS27" s="13" t="n"/>
      <c r="AT27" s="14">
        <f>IF(B27="","",IF(AP27&lt;&gt;"","09:00-10:00",IF(AQ27&lt;&gt;"","10:00-11:00",IF(AR27&lt;&gt;"","19:00-20:00",IF(AS27&lt;&gt;"","20:00-21:00","")))))</f>
        <v/>
      </c>
      <c r="AU27" s="19">
        <f>IF(B27="","",COUNTA(التجديد!E27:E27))</f>
        <v/>
      </c>
    </row>
    <row r="28" ht="22" customHeight="1">
      <c r="A28" s="10">
        <f>IF(B28="","","RCS "&amp;TEXT(ROW()-2,"000"))</f>
        <v/>
      </c>
      <c r="B28" s="11" t="n"/>
      <c r="C28" s="11" t="n"/>
      <c r="D28" s="12" t="n"/>
      <c r="E28" s="13" t="n"/>
      <c r="F28" s="13" t="n"/>
      <c r="G28" s="14">
        <f>IF(B28="","",IF(E28&lt;&gt;"","ذكر",IF(F28&lt;&gt;"","أنثى","")))</f>
        <v/>
      </c>
      <c r="H28" s="14">
        <f>IF(D28="","",DATEDIF(D28,TODAY(),"Y"))</f>
        <v/>
      </c>
      <c r="I28" s="13" t="n"/>
      <c r="J28" s="13" t="n"/>
      <c r="K28" s="13" t="n"/>
      <c r="L28" s="13" t="n"/>
      <c r="M28" s="13" t="n"/>
      <c r="N28" s="13" t="n"/>
      <c r="O28" s="13" t="n"/>
      <c r="P28" s="13" t="n"/>
      <c r="Q28" s="14">
        <f>IF(B28="","",IF(I28&lt;&gt;"","A+",IF(J28&lt;&gt;"","A-",IF(K28&lt;&gt;"","B+",IF(L28&lt;&gt;"","B-",IF(M28&lt;&gt;"","O+",IF(N28&lt;&gt;"","O-",IF(O28&lt;&gt;"","AB+",IF(P28&lt;&gt;"","AB-",""))))))))</f>
        <v/>
      </c>
      <c r="R28" s="13" t="n"/>
      <c r="S28" s="13" t="n"/>
      <c r="T28" s="13" t="n"/>
      <c r="U28" s="13" t="n"/>
      <c r="V28" s="13" t="n"/>
      <c r="W28" s="13" t="n"/>
      <c r="X28" s="14">
        <f>IF(B28="","",IF(R28&lt;&gt;"","/",IF(S28&lt;&gt;"","OPOW",IF(T28&lt;&gt;"","DJS",IF(U28&lt;&gt;"","FCS",IF(V28&lt;&gt;"","RCS",IF(W28&lt;&gt;"","POLICE","")))))))</f>
        <v/>
      </c>
      <c r="Y28" s="12" t="n"/>
      <c r="Z28" s="15">
        <f>IF(Y28="","",Y28+30)</f>
        <v/>
      </c>
      <c r="AA28" s="13" t="n"/>
      <c r="AB28" s="13" t="n"/>
      <c r="AC28" s="13" t="n"/>
      <c r="AD28" s="13" t="n"/>
      <c r="AE28" s="14">
        <f>IF(B28="","",IF(AA28&lt;&gt;"","مدفوع",IF(AB28&lt;&gt;"","لم يدفع",IF(AC28&lt;&gt;"","تأمين فقط",IF(AD28&lt;&gt;"","اشتراك 300","")))))</f>
        <v/>
      </c>
      <c r="AF28" s="16">
        <f>IF(OR(AE28="لم يدفع",B28=""),"",IF(OR(AE28="تأمين فقط",X28="FCS",X28="RCS"),0,IF(OR(AE28="اشتراك 300",X28="POLICE",X28="OPOW",X28="DJS"),300,IF(H28&lt;14,1300,1500))))</f>
        <v/>
      </c>
      <c r="AG28" s="16">
        <f>IF(OR(AE28="لم يدفع",B28=""),"",500)</f>
        <v/>
      </c>
      <c r="AH28" s="16">
        <f>IF(OR(AE28="لم يدفع",AE28="تأمين فقط",AE28="اشتراك 300",X28="OPOW",X28="DJS",X28="FCS",X28="RCS",X28="POLICE",B28=""),"",1000)</f>
        <v/>
      </c>
      <c r="AI28" s="17">
        <f>IF(AE28="لم يدفع","",IF(AF28="","",AF28+AG28))</f>
        <v/>
      </c>
      <c r="AJ28" s="18">
        <f>IF(B28="","",IF(AE28="لم يدفع","🔒 مجمدة",IF(Z28="","",IF(Z28&lt;TODAY(),"⛔ منتهي - يتطلب تجديد",IF(Z28-5&lt;=TODAY(),"⚠️ قريب الانتهاء","✅ ساري")))))</f>
        <v/>
      </c>
      <c r="AK28" s="13" t="n"/>
      <c r="AL28" s="13" t="n"/>
      <c r="AM28" s="13" t="n"/>
      <c r="AN28" s="13" t="n"/>
      <c r="AO28" s="14">
        <f>IF(B28="","",IF(AK28&lt;&gt;"","الأحد والأربعاء",IF(AL28&lt;&gt;"","الاثنين والخميس",IF(AM28&lt;&gt;"","الثلاثاء والجمعة",IF(AN28&lt;&gt;"","كل الأيام","")))))</f>
        <v/>
      </c>
      <c r="AP28" s="13" t="n"/>
      <c r="AQ28" s="13" t="n"/>
      <c r="AR28" s="13" t="n"/>
      <c r="AS28" s="13" t="n"/>
      <c r="AT28" s="14">
        <f>IF(B28="","",IF(AP28&lt;&gt;"","09:00-10:00",IF(AQ28&lt;&gt;"","10:00-11:00",IF(AR28&lt;&gt;"","19:00-20:00",IF(AS28&lt;&gt;"","20:00-21:00","")))))</f>
        <v/>
      </c>
      <c r="AU28" s="19">
        <f>IF(B28="","",COUNTA(التجديد!E28:E28))</f>
        <v/>
      </c>
    </row>
    <row r="29" ht="22" customHeight="1">
      <c r="A29" s="10">
        <f>IF(B29="","","RCS "&amp;TEXT(ROW()-2,"000"))</f>
        <v/>
      </c>
      <c r="B29" s="11" t="n"/>
      <c r="C29" s="11" t="n"/>
      <c r="D29" s="12" t="n"/>
      <c r="E29" s="13" t="n"/>
      <c r="F29" s="13" t="n"/>
      <c r="G29" s="14">
        <f>IF(B29="","",IF(E29&lt;&gt;"","ذكر",IF(F29&lt;&gt;"","أنثى","")))</f>
        <v/>
      </c>
      <c r="H29" s="14">
        <f>IF(D29="","",DATEDIF(D29,TODAY(),"Y"))</f>
        <v/>
      </c>
      <c r="I29" s="13" t="n"/>
      <c r="J29" s="13" t="n"/>
      <c r="K29" s="13" t="n"/>
      <c r="L29" s="13" t="n"/>
      <c r="M29" s="13" t="n"/>
      <c r="N29" s="13" t="n"/>
      <c r="O29" s="13" t="n"/>
      <c r="P29" s="13" t="n"/>
      <c r="Q29" s="14">
        <f>IF(B29="","",IF(I29&lt;&gt;"","A+",IF(J29&lt;&gt;"","A-",IF(K29&lt;&gt;"","B+",IF(L29&lt;&gt;"","B-",IF(M29&lt;&gt;"","O+",IF(N29&lt;&gt;"","O-",IF(O29&lt;&gt;"","AB+",IF(P29&lt;&gt;"","AB-",""))))))))</f>
        <v/>
      </c>
      <c r="R29" s="13" t="n"/>
      <c r="S29" s="13" t="n"/>
      <c r="T29" s="13" t="n"/>
      <c r="U29" s="13" t="n"/>
      <c r="V29" s="13" t="n"/>
      <c r="W29" s="13" t="n"/>
      <c r="X29" s="14">
        <f>IF(B29="","",IF(R29&lt;&gt;"","/",IF(S29&lt;&gt;"","OPOW",IF(T29&lt;&gt;"","DJS",IF(U29&lt;&gt;"","FCS",IF(V29&lt;&gt;"","RCS",IF(W29&lt;&gt;"","POLICE","")))))))</f>
        <v/>
      </c>
      <c r="Y29" s="12" t="n"/>
      <c r="Z29" s="15">
        <f>IF(Y29="","",Y29+30)</f>
        <v/>
      </c>
      <c r="AA29" s="13" t="n"/>
      <c r="AB29" s="13" t="n"/>
      <c r="AC29" s="13" t="n"/>
      <c r="AD29" s="13" t="n"/>
      <c r="AE29" s="14">
        <f>IF(B29="","",IF(AA29&lt;&gt;"","مدفوع",IF(AB29&lt;&gt;"","لم يدفع",IF(AC29&lt;&gt;"","تأمين فقط",IF(AD29&lt;&gt;"","اشتراك 300","")))))</f>
        <v/>
      </c>
      <c r="AF29" s="16">
        <f>IF(OR(AE29="لم يدفع",B29=""),"",IF(OR(AE29="تأمين فقط",X29="FCS",X29="RCS"),0,IF(OR(AE29="اشتراك 300",X29="POLICE",X29="OPOW",X29="DJS"),300,IF(H29&lt;14,1300,1500))))</f>
        <v/>
      </c>
      <c r="AG29" s="16">
        <f>IF(OR(AE29="لم يدفع",B29=""),"",500)</f>
        <v/>
      </c>
      <c r="AH29" s="16">
        <f>IF(OR(AE29="لم يدفع",AE29="تأمين فقط",AE29="اشتراك 300",X29="OPOW",X29="DJS",X29="FCS",X29="RCS",X29="POLICE",B29=""),"",1000)</f>
        <v/>
      </c>
      <c r="AI29" s="17">
        <f>IF(AE29="لم يدفع","",IF(AF29="","",AF29+AG29))</f>
        <v/>
      </c>
      <c r="AJ29" s="18">
        <f>IF(B29="","",IF(AE29="لم يدفع","🔒 مجمدة",IF(Z29="","",IF(Z29&lt;TODAY(),"⛔ منتهي - يتطلب تجديد",IF(Z29-5&lt;=TODAY(),"⚠️ قريب الانتهاء","✅ ساري")))))</f>
        <v/>
      </c>
      <c r="AK29" s="13" t="n"/>
      <c r="AL29" s="13" t="n"/>
      <c r="AM29" s="13" t="n"/>
      <c r="AN29" s="13" t="n"/>
      <c r="AO29" s="14">
        <f>IF(B29="","",IF(AK29&lt;&gt;"","الأحد والأربعاء",IF(AL29&lt;&gt;"","الاثنين والخميس",IF(AM29&lt;&gt;"","الثلاثاء والجمعة",IF(AN29&lt;&gt;"","كل الأيام","")))))</f>
        <v/>
      </c>
      <c r="AP29" s="13" t="n"/>
      <c r="AQ29" s="13" t="n"/>
      <c r="AR29" s="13" t="n"/>
      <c r="AS29" s="13" t="n"/>
      <c r="AT29" s="14">
        <f>IF(B29="","",IF(AP29&lt;&gt;"","09:00-10:00",IF(AQ29&lt;&gt;"","10:00-11:00",IF(AR29&lt;&gt;"","19:00-20:00",IF(AS29&lt;&gt;"","20:00-21:00","")))))</f>
        <v/>
      </c>
      <c r="AU29" s="19">
        <f>IF(B29="","",COUNTA(التجديد!E29:E29))</f>
        <v/>
      </c>
    </row>
    <row r="30" ht="22" customHeight="1">
      <c r="A30" s="10">
        <f>IF(B30="","","RCS "&amp;TEXT(ROW()-2,"000"))</f>
        <v/>
      </c>
      <c r="B30" s="11" t="n"/>
      <c r="C30" s="11" t="n"/>
      <c r="D30" s="12" t="n"/>
      <c r="E30" s="13" t="n"/>
      <c r="F30" s="13" t="n"/>
      <c r="G30" s="14">
        <f>IF(B30="","",IF(E30&lt;&gt;"","ذكر",IF(F30&lt;&gt;"","أنثى","")))</f>
        <v/>
      </c>
      <c r="H30" s="14">
        <f>IF(D30="","",DATEDIF(D30,TODAY(),"Y"))</f>
        <v/>
      </c>
      <c r="I30" s="13" t="n"/>
      <c r="J30" s="13" t="n"/>
      <c r="K30" s="13" t="n"/>
      <c r="L30" s="13" t="n"/>
      <c r="M30" s="13" t="n"/>
      <c r="N30" s="13" t="n"/>
      <c r="O30" s="13" t="n"/>
      <c r="P30" s="13" t="n"/>
      <c r="Q30" s="14">
        <f>IF(B30="","",IF(I30&lt;&gt;"","A+",IF(J30&lt;&gt;"","A-",IF(K30&lt;&gt;"","B+",IF(L30&lt;&gt;"","B-",IF(M30&lt;&gt;"","O+",IF(N30&lt;&gt;"","O-",IF(O30&lt;&gt;"","AB+",IF(P30&lt;&gt;"","AB-",""))))))))</f>
        <v/>
      </c>
      <c r="R30" s="13" t="n"/>
      <c r="S30" s="13" t="n"/>
      <c r="T30" s="13" t="n"/>
      <c r="U30" s="13" t="n"/>
      <c r="V30" s="13" t="n"/>
      <c r="W30" s="13" t="n"/>
      <c r="X30" s="14">
        <f>IF(B30="","",IF(R30&lt;&gt;"","/",IF(S30&lt;&gt;"","OPOW",IF(T30&lt;&gt;"","DJS",IF(U30&lt;&gt;"","FCS",IF(V30&lt;&gt;"","RCS",IF(W30&lt;&gt;"","POLICE","")))))))</f>
        <v/>
      </c>
      <c r="Y30" s="12" t="n"/>
      <c r="Z30" s="15">
        <f>IF(Y30="","",Y30+30)</f>
        <v/>
      </c>
      <c r="AA30" s="13" t="n"/>
      <c r="AB30" s="13" t="n"/>
      <c r="AC30" s="13" t="n"/>
      <c r="AD30" s="13" t="n"/>
      <c r="AE30" s="14">
        <f>IF(B30="","",IF(AA30&lt;&gt;"","مدفوع",IF(AB30&lt;&gt;"","لم يدفع",IF(AC30&lt;&gt;"","تأمين فقط",IF(AD30&lt;&gt;"","اشتراك 300","")))))</f>
        <v/>
      </c>
      <c r="AF30" s="16">
        <f>IF(OR(AE30="لم يدفع",B30=""),"",IF(OR(AE30="تأمين فقط",X30="FCS",X30="RCS"),0,IF(OR(AE30="اشتراك 300",X30="POLICE",X30="OPOW",X30="DJS"),300,IF(H30&lt;14,1300,1500))))</f>
        <v/>
      </c>
      <c r="AG30" s="16">
        <f>IF(OR(AE30="لم يدفع",B30=""),"",500)</f>
        <v/>
      </c>
      <c r="AH30" s="16">
        <f>IF(OR(AE30="لم يدفع",AE30="تأمين فقط",AE30="اشتراك 300",X30="OPOW",X30="DJS",X30="FCS",X30="RCS",X30="POLICE",B30=""),"",1000)</f>
        <v/>
      </c>
      <c r="AI30" s="17">
        <f>IF(AE30="لم يدفع","",IF(AF30="","",AF30+AG30))</f>
        <v/>
      </c>
      <c r="AJ30" s="18">
        <f>IF(B30="","",IF(AE30="لم يدفع","🔒 مجمدة",IF(Z30="","",IF(Z30&lt;TODAY(),"⛔ منتهي - يتطلب تجديد",IF(Z30-5&lt;=TODAY(),"⚠️ قريب الانتهاء","✅ ساري")))))</f>
        <v/>
      </c>
      <c r="AK30" s="13" t="n"/>
      <c r="AL30" s="13" t="n"/>
      <c r="AM30" s="13" t="n"/>
      <c r="AN30" s="13" t="n"/>
      <c r="AO30" s="14">
        <f>IF(B30="","",IF(AK30&lt;&gt;"","الأحد والأربعاء",IF(AL30&lt;&gt;"","الاثنين والخميس",IF(AM30&lt;&gt;"","الثلاثاء والجمعة",IF(AN30&lt;&gt;"","كل الأيام","")))))</f>
        <v/>
      </c>
      <c r="AP30" s="13" t="n"/>
      <c r="AQ30" s="13" t="n"/>
      <c r="AR30" s="13" t="n"/>
      <c r="AS30" s="13" t="n"/>
      <c r="AT30" s="14">
        <f>IF(B30="","",IF(AP30&lt;&gt;"","09:00-10:00",IF(AQ30&lt;&gt;"","10:00-11:00",IF(AR30&lt;&gt;"","19:00-20:00",IF(AS30&lt;&gt;"","20:00-21:00","")))))</f>
        <v/>
      </c>
      <c r="AU30" s="19">
        <f>IF(B30="","",COUNTA(التجديد!E30:E30))</f>
        <v/>
      </c>
    </row>
    <row r="31" ht="22" customHeight="1">
      <c r="A31" s="10">
        <f>IF(B31="","","RCS "&amp;TEXT(ROW()-2,"000"))</f>
        <v/>
      </c>
      <c r="B31" s="11" t="n"/>
      <c r="C31" s="11" t="n"/>
      <c r="D31" s="12" t="n"/>
      <c r="E31" s="13" t="n"/>
      <c r="F31" s="13" t="n"/>
      <c r="G31" s="14">
        <f>IF(B31="","",IF(E31&lt;&gt;"","ذكر",IF(F31&lt;&gt;"","أنثى","")))</f>
        <v/>
      </c>
      <c r="H31" s="14">
        <f>IF(D31="","",DATEDIF(D31,TODAY(),"Y"))</f>
        <v/>
      </c>
      <c r="I31" s="13" t="n"/>
      <c r="J31" s="13" t="n"/>
      <c r="K31" s="13" t="n"/>
      <c r="L31" s="13" t="n"/>
      <c r="M31" s="13" t="n"/>
      <c r="N31" s="13" t="n"/>
      <c r="O31" s="13" t="n"/>
      <c r="P31" s="13" t="n"/>
      <c r="Q31" s="14">
        <f>IF(B31="","",IF(I31&lt;&gt;"","A+",IF(J31&lt;&gt;"","A-",IF(K31&lt;&gt;"","B+",IF(L31&lt;&gt;"","B-",IF(M31&lt;&gt;"","O+",IF(N31&lt;&gt;"","O-",IF(O31&lt;&gt;"","AB+",IF(P31&lt;&gt;"","AB-",""))))))))</f>
        <v/>
      </c>
      <c r="R31" s="13" t="n"/>
      <c r="S31" s="13" t="n"/>
      <c r="T31" s="13" t="n"/>
      <c r="U31" s="13" t="n"/>
      <c r="V31" s="13" t="n"/>
      <c r="W31" s="13" t="n"/>
      <c r="X31" s="14">
        <f>IF(B31="","",IF(R31&lt;&gt;"","/",IF(S31&lt;&gt;"","OPOW",IF(T31&lt;&gt;"","DJS",IF(U31&lt;&gt;"","FCS",IF(V31&lt;&gt;"","RCS",IF(W31&lt;&gt;"","POLICE","")))))))</f>
        <v/>
      </c>
      <c r="Y31" s="12" t="n"/>
      <c r="Z31" s="15">
        <f>IF(Y31="","",Y31+30)</f>
        <v/>
      </c>
      <c r="AA31" s="13" t="n"/>
      <c r="AB31" s="13" t="n"/>
      <c r="AC31" s="13" t="n"/>
      <c r="AD31" s="13" t="n"/>
      <c r="AE31" s="14">
        <f>IF(B31="","",IF(AA31&lt;&gt;"","مدفوع",IF(AB31&lt;&gt;"","لم يدفع",IF(AC31&lt;&gt;"","تأمين فقط",IF(AD31&lt;&gt;"","اشتراك 300","")))))</f>
        <v/>
      </c>
      <c r="AF31" s="16">
        <f>IF(OR(AE31="لم يدفع",B31=""),"",IF(OR(AE31="تأمين فقط",X31="FCS",X31="RCS"),0,IF(OR(AE31="اشتراك 300",X31="POLICE",X31="OPOW",X31="DJS"),300,IF(H31&lt;14,1300,1500))))</f>
        <v/>
      </c>
      <c r="AG31" s="16">
        <f>IF(OR(AE31="لم يدفع",B31=""),"",500)</f>
        <v/>
      </c>
      <c r="AH31" s="16">
        <f>IF(OR(AE31="لم يدفع",AE31="تأمين فقط",AE31="اشتراك 300",X31="OPOW",X31="DJS",X31="FCS",X31="RCS",X31="POLICE",B31=""),"",1000)</f>
        <v/>
      </c>
      <c r="AI31" s="17">
        <f>IF(AE31="لم يدفع","",IF(AF31="","",AF31+AG31))</f>
        <v/>
      </c>
      <c r="AJ31" s="18">
        <f>IF(B31="","",IF(AE31="لم يدفع","🔒 مجمدة",IF(Z31="","",IF(Z31&lt;TODAY(),"⛔ منتهي - يتطلب تجديد",IF(Z31-5&lt;=TODAY(),"⚠️ قريب الانتهاء","✅ ساري")))))</f>
        <v/>
      </c>
      <c r="AK31" s="13" t="n"/>
      <c r="AL31" s="13" t="n"/>
      <c r="AM31" s="13" t="n"/>
      <c r="AN31" s="13" t="n"/>
      <c r="AO31" s="14">
        <f>IF(B31="","",IF(AK31&lt;&gt;"","الأحد والأربعاء",IF(AL31&lt;&gt;"","الاثنين والخميس",IF(AM31&lt;&gt;"","الثلاثاء والجمعة",IF(AN31&lt;&gt;"","كل الأيام","")))))</f>
        <v/>
      </c>
      <c r="AP31" s="13" t="n"/>
      <c r="AQ31" s="13" t="n"/>
      <c r="AR31" s="13" t="n"/>
      <c r="AS31" s="13" t="n"/>
      <c r="AT31" s="14">
        <f>IF(B31="","",IF(AP31&lt;&gt;"","09:00-10:00",IF(AQ31&lt;&gt;"","10:00-11:00",IF(AR31&lt;&gt;"","19:00-20:00",IF(AS31&lt;&gt;"","20:00-21:00","")))))</f>
        <v/>
      </c>
      <c r="AU31" s="19">
        <f>IF(B31="","",COUNTA(التجديد!E31:E31))</f>
        <v/>
      </c>
    </row>
    <row r="32" ht="22" customHeight="1">
      <c r="A32" s="10">
        <f>IF(B32="","","RCS "&amp;TEXT(ROW()-2,"000"))</f>
        <v/>
      </c>
      <c r="B32" s="11" t="n"/>
      <c r="C32" s="11" t="n"/>
      <c r="D32" s="12" t="n"/>
      <c r="E32" s="13" t="n"/>
      <c r="F32" s="13" t="n"/>
      <c r="G32" s="14">
        <f>IF(B32="","",IF(E32&lt;&gt;"","ذكر",IF(F32&lt;&gt;"","أنثى","")))</f>
        <v/>
      </c>
      <c r="H32" s="14">
        <f>IF(D32="","",DATEDIF(D32,TODAY(),"Y"))</f>
        <v/>
      </c>
      <c r="I32" s="13" t="n"/>
      <c r="J32" s="13" t="n"/>
      <c r="K32" s="13" t="n"/>
      <c r="L32" s="13" t="n"/>
      <c r="M32" s="13" t="n"/>
      <c r="N32" s="13" t="n"/>
      <c r="O32" s="13" t="n"/>
      <c r="P32" s="13" t="n"/>
      <c r="Q32" s="14">
        <f>IF(B32="","",IF(I32&lt;&gt;"","A+",IF(J32&lt;&gt;"","A-",IF(K32&lt;&gt;"","B+",IF(L32&lt;&gt;"","B-",IF(M32&lt;&gt;"","O+",IF(N32&lt;&gt;"","O-",IF(O32&lt;&gt;"","AB+",IF(P32&lt;&gt;"","AB-",""))))))))</f>
        <v/>
      </c>
      <c r="R32" s="13" t="n"/>
      <c r="S32" s="13" t="n"/>
      <c r="T32" s="13" t="n"/>
      <c r="U32" s="13" t="n"/>
      <c r="V32" s="13" t="n"/>
      <c r="W32" s="13" t="n"/>
      <c r="X32" s="14">
        <f>IF(B32="","",IF(R32&lt;&gt;"","/",IF(S32&lt;&gt;"","OPOW",IF(T32&lt;&gt;"","DJS",IF(U32&lt;&gt;"","FCS",IF(V32&lt;&gt;"","RCS",IF(W32&lt;&gt;"","POLICE","")))))))</f>
        <v/>
      </c>
      <c r="Y32" s="12" t="n"/>
      <c r="Z32" s="15">
        <f>IF(Y32="","",Y32+30)</f>
        <v/>
      </c>
      <c r="AA32" s="13" t="n"/>
      <c r="AB32" s="13" t="n"/>
      <c r="AC32" s="13" t="n"/>
      <c r="AD32" s="13" t="n"/>
      <c r="AE32" s="14">
        <f>IF(B32="","",IF(AA32&lt;&gt;"","مدفوع",IF(AB32&lt;&gt;"","لم يدفع",IF(AC32&lt;&gt;"","تأمين فقط",IF(AD32&lt;&gt;"","اشتراك 300","")))))</f>
        <v/>
      </c>
      <c r="AF32" s="16">
        <f>IF(OR(AE32="لم يدفع",B32=""),"",IF(OR(AE32="تأمين فقط",X32="FCS",X32="RCS"),0,IF(OR(AE32="اشتراك 300",X32="POLICE",X32="OPOW",X32="DJS"),300,IF(H32&lt;14,1300,1500))))</f>
        <v/>
      </c>
      <c r="AG32" s="16">
        <f>IF(OR(AE32="لم يدفع",B32=""),"",500)</f>
        <v/>
      </c>
      <c r="AH32" s="16">
        <f>IF(OR(AE32="لم يدفع",AE32="تأمين فقط",AE32="اشتراك 300",X32="OPOW",X32="DJS",X32="FCS",X32="RCS",X32="POLICE",B32=""),"",1000)</f>
        <v/>
      </c>
      <c r="AI32" s="17">
        <f>IF(AE32="لم يدفع","",IF(AF32="","",AF32+AG32))</f>
        <v/>
      </c>
      <c r="AJ32" s="18">
        <f>IF(B32="","",IF(AE32="لم يدفع","🔒 مجمدة",IF(Z32="","",IF(Z32&lt;TODAY(),"⛔ منتهي - يتطلب تجديد",IF(Z32-5&lt;=TODAY(),"⚠️ قريب الانتهاء","✅ ساري")))))</f>
        <v/>
      </c>
      <c r="AK32" s="13" t="n"/>
      <c r="AL32" s="13" t="n"/>
      <c r="AM32" s="13" t="n"/>
      <c r="AN32" s="13" t="n"/>
      <c r="AO32" s="14">
        <f>IF(B32="","",IF(AK32&lt;&gt;"","الأحد والأربعاء",IF(AL32&lt;&gt;"","الاثنين والخميس",IF(AM32&lt;&gt;"","الثلاثاء والجمعة",IF(AN32&lt;&gt;"","كل الأيام","")))))</f>
        <v/>
      </c>
      <c r="AP32" s="13" t="n"/>
      <c r="AQ32" s="13" t="n"/>
      <c r="AR32" s="13" t="n"/>
      <c r="AS32" s="13" t="n"/>
      <c r="AT32" s="14">
        <f>IF(B32="","",IF(AP32&lt;&gt;"","09:00-10:00",IF(AQ32&lt;&gt;"","10:00-11:00",IF(AR32&lt;&gt;"","19:00-20:00",IF(AS32&lt;&gt;"","20:00-21:00","")))))</f>
        <v/>
      </c>
      <c r="AU32" s="19">
        <f>IF(B32="","",COUNTA(التجديد!E32:E32))</f>
        <v/>
      </c>
    </row>
    <row r="33" ht="22" customHeight="1">
      <c r="A33" s="10">
        <f>IF(B33="","","RCS "&amp;TEXT(ROW()-2,"000"))</f>
        <v/>
      </c>
      <c r="B33" s="11" t="n"/>
      <c r="C33" s="11" t="n"/>
      <c r="D33" s="12" t="n"/>
      <c r="E33" s="13" t="n"/>
      <c r="F33" s="13" t="n"/>
      <c r="G33" s="14">
        <f>IF(B33="","",IF(E33&lt;&gt;"","ذكر",IF(F33&lt;&gt;"","أنثى","")))</f>
        <v/>
      </c>
      <c r="H33" s="14">
        <f>IF(D33="","",DATEDIF(D33,TODAY(),"Y"))</f>
        <v/>
      </c>
      <c r="I33" s="13" t="n"/>
      <c r="J33" s="13" t="n"/>
      <c r="K33" s="13" t="n"/>
      <c r="L33" s="13" t="n"/>
      <c r="M33" s="13" t="n"/>
      <c r="N33" s="13" t="n"/>
      <c r="O33" s="13" t="n"/>
      <c r="P33" s="13" t="n"/>
      <c r="Q33" s="14">
        <f>IF(B33="","",IF(I33&lt;&gt;"","A+",IF(J33&lt;&gt;"","A-",IF(K33&lt;&gt;"","B+",IF(L33&lt;&gt;"","B-",IF(M33&lt;&gt;"","O+",IF(N33&lt;&gt;"","O-",IF(O33&lt;&gt;"","AB+",IF(P33&lt;&gt;"","AB-",""))))))))</f>
        <v/>
      </c>
      <c r="R33" s="13" t="n"/>
      <c r="S33" s="13" t="n"/>
      <c r="T33" s="13" t="n"/>
      <c r="U33" s="13" t="n"/>
      <c r="V33" s="13" t="n"/>
      <c r="W33" s="13" t="n"/>
      <c r="X33" s="14">
        <f>IF(B33="","",IF(R33&lt;&gt;"","/",IF(S33&lt;&gt;"","OPOW",IF(T33&lt;&gt;"","DJS",IF(U33&lt;&gt;"","FCS",IF(V33&lt;&gt;"","RCS",IF(W33&lt;&gt;"","POLICE","")))))))</f>
        <v/>
      </c>
      <c r="Y33" s="12" t="n"/>
      <c r="Z33" s="15">
        <f>IF(Y33="","",Y33+30)</f>
        <v/>
      </c>
      <c r="AA33" s="13" t="n"/>
      <c r="AB33" s="13" t="n"/>
      <c r="AC33" s="13" t="n"/>
      <c r="AD33" s="13" t="n"/>
      <c r="AE33" s="14">
        <f>IF(B33="","",IF(AA33&lt;&gt;"","مدفوع",IF(AB33&lt;&gt;"","لم يدفع",IF(AC33&lt;&gt;"","تأمين فقط",IF(AD33&lt;&gt;"","اشتراك 300","")))))</f>
        <v/>
      </c>
      <c r="AF33" s="16">
        <f>IF(OR(AE33="لم يدفع",B33=""),"",IF(OR(AE33="تأمين فقط",X33="FCS",X33="RCS"),0,IF(OR(AE33="اشتراك 300",X33="POLICE",X33="OPOW",X33="DJS"),300,IF(H33&lt;14,1300,1500))))</f>
        <v/>
      </c>
      <c r="AG33" s="16">
        <f>IF(OR(AE33="لم يدفع",B33=""),"",500)</f>
        <v/>
      </c>
      <c r="AH33" s="16">
        <f>IF(OR(AE33="لم يدفع",AE33="تأمين فقط",AE33="اشتراك 300",X33="OPOW",X33="DJS",X33="FCS",X33="RCS",X33="POLICE",B33=""),"",1000)</f>
        <v/>
      </c>
      <c r="AI33" s="17">
        <f>IF(AE33="لم يدفع","",IF(AF33="","",AF33+AG33))</f>
        <v/>
      </c>
      <c r="AJ33" s="18">
        <f>IF(B33="","",IF(AE33="لم يدفع","🔒 مجمدة",IF(Z33="","",IF(Z33&lt;TODAY(),"⛔ منتهي - يتطلب تجديد",IF(Z33-5&lt;=TODAY(),"⚠️ قريب الانتهاء","✅ ساري")))))</f>
        <v/>
      </c>
      <c r="AK33" s="13" t="n"/>
      <c r="AL33" s="13" t="n"/>
      <c r="AM33" s="13" t="n"/>
      <c r="AN33" s="13" t="n"/>
      <c r="AO33" s="14">
        <f>IF(B33="","",IF(AK33&lt;&gt;"","الأحد والأربعاء",IF(AL33&lt;&gt;"","الاثنين والخميس",IF(AM33&lt;&gt;"","الثلاثاء والجمعة",IF(AN33&lt;&gt;"","كل الأيام","")))))</f>
        <v/>
      </c>
      <c r="AP33" s="13" t="n"/>
      <c r="AQ33" s="13" t="n"/>
      <c r="AR33" s="13" t="n"/>
      <c r="AS33" s="13" t="n"/>
      <c r="AT33" s="14">
        <f>IF(B33="","",IF(AP33&lt;&gt;"","09:00-10:00",IF(AQ33&lt;&gt;"","10:00-11:00",IF(AR33&lt;&gt;"","19:00-20:00",IF(AS33&lt;&gt;"","20:00-21:00","")))))</f>
        <v/>
      </c>
      <c r="AU33" s="19">
        <f>IF(B33="","",COUNTA(التجديد!E33:E33))</f>
        <v/>
      </c>
    </row>
    <row r="34" ht="22" customHeight="1">
      <c r="A34" s="10">
        <f>IF(B34="","","RCS "&amp;TEXT(ROW()-2,"000"))</f>
        <v/>
      </c>
      <c r="B34" s="11" t="n"/>
      <c r="C34" s="11" t="n"/>
      <c r="D34" s="12" t="n"/>
      <c r="E34" s="13" t="n"/>
      <c r="F34" s="13" t="n"/>
      <c r="G34" s="14">
        <f>IF(B34="","",IF(E34&lt;&gt;"","ذكر",IF(F34&lt;&gt;"","أنثى","")))</f>
        <v/>
      </c>
      <c r="H34" s="14">
        <f>IF(D34="","",DATEDIF(D34,TODAY(),"Y"))</f>
        <v/>
      </c>
      <c r="I34" s="13" t="n"/>
      <c r="J34" s="13" t="n"/>
      <c r="K34" s="13" t="n"/>
      <c r="L34" s="13" t="n"/>
      <c r="M34" s="13" t="n"/>
      <c r="N34" s="13" t="n"/>
      <c r="O34" s="13" t="n"/>
      <c r="P34" s="13" t="n"/>
      <c r="Q34" s="14">
        <f>IF(B34="","",IF(I34&lt;&gt;"","A+",IF(J34&lt;&gt;"","A-",IF(K34&lt;&gt;"","B+",IF(L34&lt;&gt;"","B-",IF(M34&lt;&gt;"","O+",IF(N34&lt;&gt;"","O-",IF(O34&lt;&gt;"","AB+",IF(P34&lt;&gt;"","AB-",""))))))))</f>
        <v/>
      </c>
      <c r="R34" s="13" t="n"/>
      <c r="S34" s="13" t="n"/>
      <c r="T34" s="13" t="n"/>
      <c r="U34" s="13" t="n"/>
      <c r="V34" s="13" t="n"/>
      <c r="W34" s="13" t="n"/>
      <c r="X34" s="14">
        <f>IF(B34="","",IF(R34&lt;&gt;"","/",IF(S34&lt;&gt;"","OPOW",IF(T34&lt;&gt;"","DJS",IF(U34&lt;&gt;"","FCS",IF(V34&lt;&gt;"","RCS",IF(W34&lt;&gt;"","POLICE","")))))))</f>
        <v/>
      </c>
      <c r="Y34" s="12" t="n"/>
      <c r="Z34" s="15">
        <f>IF(Y34="","",Y34+30)</f>
        <v/>
      </c>
      <c r="AA34" s="13" t="n"/>
      <c r="AB34" s="13" t="n"/>
      <c r="AC34" s="13" t="n"/>
      <c r="AD34" s="13" t="n"/>
      <c r="AE34" s="14">
        <f>IF(B34="","",IF(AA34&lt;&gt;"","مدفوع",IF(AB34&lt;&gt;"","لم يدفع",IF(AC34&lt;&gt;"","تأمين فقط",IF(AD34&lt;&gt;"","اشتراك 300","")))))</f>
        <v/>
      </c>
      <c r="AF34" s="16">
        <f>IF(OR(AE34="لم يدفع",B34=""),"",IF(OR(AE34="تأمين فقط",X34="FCS",X34="RCS"),0,IF(OR(AE34="اشتراك 300",X34="POLICE",X34="OPOW",X34="DJS"),300,IF(H34&lt;14,1300,1500))))</f>
        <v/>
      </c>
      <c r="AG34" s="16">
        <f>IF(OR(AE34="لم يدفع",B34=""),"",500)</f>
        <v/>
      </c>
      <c r="AH34" s="16">
        <f>IF(OR(AE34="لم يدفع",AE34="تأمين فقط",AE34="اشتراك 300",X34="OPOW",X34="DJS",X34="FCS",X34="RCS",X34="POLICE",B34=""),"",1000)</f>
        <v/>
      </c>
      <c r="AI34" s="17">
        <f>IF(AE34="لم يدفع","",IF(AF34="","",AF34+AG34))</f>
        <v/>
      </c>
      <c r="AJ34" s="18">
        <f>IF(B34="","",IF(AE34="لم يدفع","🔒 مجمدة",IF(Z34="","",IF(Z34&lt;TODAY(),"⛔ منتهي - يتطلب تجديد",IF(Z34-5&lt;=TODAY(),"⚠️ قريب الانتهاء","✅ ساري")))))</f>
        <v/>
      </c>
      <c r="AK34" s="13" t="n"/>
      <c r="AL34" s="13" t="n"/>
      <c r="AM34" s="13" t="n"/>
      <c r="AN34" s="13" t="n"/>
      <c r="AO34" s="14">
        <f>IF(B34="","",IF(AK34&lt;&gt;"","الأحد والأربعاء",IF(AL34&lt;&gt;"","الاثنين والخميس",IF(AM34&lt;&gt;"","الثلاثاء والجمعة",IF(AN34&lt;&gt;"","كل الأيام","")))))</f>
        <v/>
      </c>
      <c r="AP34" s="13" t="n"/>
      <c r="AQ34" s="13" t="n"/>
      <c r="AR34" s="13" t="n"/>
      <c r="AS34" s="13" t="n"/>
      <c r="AT34" s="14">
        <f>IF(B34="","",IF(AP34&lt;&gt;"","09:00-10:00",IF(AQ34&lt;&gt;"","10:00-11:00",IF(AR34&lt;&gt;"","19:00-20:00",IF(AS34&lt;&gt;"","20:00-21:00","")))))</f>
        <v/>
      </c>
      <c r="AU34" s="19">
        <f>IF(B34="","",COUNTA(التجديد!E34:E34))</f>
        <v/>
      </c>
    </row>
    <row r="35" ht="22" customHeight="1">
      <c r="A35" s="10">
        <f>IF(B35="","","RCS "&amp;TEXT(ROW()-2,"000"))</f>
        <v/>
      </c>
      <c r="B35" s="11" t="n"/>
      <c r="C35" s="11" t="n"/>
      <c r="D35" s="12" t="n"/>
      <c r="E35" s="13" t="n"/>
      <c r="F35" s="13" t="n"/>
      <c r="G35" s="14">
        <f>IF(B35="","",IF(E35&lt;&gt;"","ذكر",IF(F35&lt;&gt;"","أنثى","")))</f>
        <v/>
      </c>
      <c r="H35" s="14">
        <f>IF(D35="","",DATEDIF(D35,TODAY(),"Y"))</f>
        <v/>
      </c>
      <c r="I35" s="13" t="n"/>
      <c r="J35" s="13" t="n"/>
      <c r="K35" s="13" t="n"/>
      <c r="L35" s="13" t="n"/>
      <c r="M35" s="13" t="n"/>
      <c r="N35" s="13" t="n"/>
      <c r="O35" s="13" t="n"/>
      <c r="P35" s="13" t="n"/>
      <c r="Q35" s="14">
        <f>IF(B35="","",IF(I35&lt;&gt;"","A+",IF(J35&lt;&gt;"","A-",IF(K35&lt;&gt;"","B+",IF(L35&lt;&gt;"","B-",IF(M35&lt;&gt;"","O+",IF(N35&lt;&gt;"","O-",IF(O35&lt;&gt;"","AB+",IF(P35&lt;&gt;"","AB-",""))))))))</f>
        <v/>
      </c>
      <c r="R35" s="13" t="n"/>
      <c r="S35" s="13" t="n"/>
      <c r="T35" s="13" t="n"/>
      <c r="U35" s="13" t="n"/>
      <c r="V35" s="13" t="n"/>
      <c r="W35" s="13" t="n"/>
      <c r="X35" s="14">
        <f>IF(B35="","",IF(R35&lt;&gt;"","/",IF(S35&lt;&gt;"","OPOW",IF(T35&lt;&gt;"","DJS",IF(U35&lt;&gt;"","FCS",IF(V35&lt;&gt;"","RCS",IF(W35&lt;&gt;"","POLICE","")))))))</f>
        <v/>
      </c>
      <c r="Y35" s="12" t="n"/>
      <c r="Z35" s="15">
        <f>IF(Y35="","",Y35+30)</f>
        <v/>
      </c>
      <c r="AA35" s="13" t="n"/>
      <c r="AB35" s="13" t="n"/>
      <c r="AC35" s="13" t="n"/>
      <c r="AD35" s="13" t="n"/>
      <c r="AE35" s="14">
        <f>IF(B35="","",IF(AA35&lt;&gt;"","مدفوع",IF(AB35&lt;&gt;"","لم يدفع",IF(AC35&lt;&gt;"","تأمين فقط",IF(AD35&lt;&gt;"","اشتراك 300","")))))</f>
        <v/>
      </c>
      <c r="AF35" s="16">
        <f>IF(OR(AE35="لم يدفع",B35=""),"",IF(OR(AE35="تأمين فقط",X35="FCS",X35="RCS"),0,IF(OR(AE35="اشتراك 300",X35="POLICE",X35="OPOW",X35="DJS"),300,IF(H35&lt;14,1300,1500))))</f>
        <v/>
      </c>
      <c r="AG35" s="16">
        <f>IF(OR(AE35="لم يدفع",B35=""),"",500)</f>
        <v/>
      </c>
      <c r="AH35" s="16">
        <f>IF(OR(AE35="لم يدفع",AE35="تأمين فقط",AE35="اشتراك 300",X35="OPOW",X35="DJS",X35="FCS",X35="RCS",X35="POLICE",B35=""),"",1000)</f>
        <v/>
      </c>
      <c r="AI35" s="17">
        <f>IF(AE35="لم يدفع","",IF(AF35="","",AF35+AG35))</f>
        <v/>
      </c>
      <c r="AJ35" s="18">
        <f>IF(B35="","",IF(AE35="لم يدفع","🔒 مجمدة",IF(Z35="","",IF(Z35&lt;TODAY(),"⛔ منتهي - يتطلب تجديد",IF(Z35-5&lt;=TODAY(),"⚠️ قريب الانتهاء","✅ ساري")))))</f>
        <v/>
      </c>
      <c r="AK35" s="13" t="n"/>
      <c r="AL35" s="13" t="n"/>
      <c r="AM35" s="13" t="n"/>
      <c r="AN35" s="13" t="n"/>
      <c r="AO35" s="14">
        <f>IF(B35="","",IF(AK35&lt;&gt;"","الأحد والأربعاء",IF(AL35&lt;&gt;"","الاثنين والخميس",IF(AM35&lt;&gt;"","الثلاثاء والجمعة",IF(AN35&lt;&gt;"","كل الأيام","")))))</f>
        <v/>
      </c>
      <c r="AP35" s="13" t="n"/>
      <c r="AQ35" s="13" t="n"/>
      <c r="AR35" s="13" t="n"/>
      <c r="AS35" s="13" t="n"/>
      <c r="AT35" s="14">
        <f>IF(B35="","",IF(AP35&lt;&gt;"","09:00-10:00",IF(AQ35&lt;&gt;"","10:00-11:00",IF(AR35&lt;&gt;"","19:00-20:00",IF(AS35&lt;&gt;"","20:00-21:00","")))))</f>
        <v/>
      </c>
      <c r="AU35" s="19">
        <f>IF(B35="","",COUNTA(التجديد!E35:E35))</f>
        <v/>
      </c>
    </row>
    <row r="36" ht="22" customHeight="1">
      <c r="A36" s="10">
        <f>IF(B36="","","RCS "&amp;TEXT(ROW()-2,"000"))</f>
        <v/>
      </c>
      <c r="B36" s="11" t="n"/>
      <c r="C36" s="11" t="n"/>
      <c r="D36" s="12" t="n"/>
      <c r="E36" s="13" t="n"/>
      <c r="F36" s="13" t="n"/>
      <c r="G36" s="14">
        <f>IF(B36="","",IF(E36&lt;&gt;"","ذكر",IF(F36&lt;&gt;"","أنثى","")))</f>
        <v/>
      </c>
      <c r="H36" s="14">
        <f>IF(D36="","",DATEDIF(D36,TODAY(),"Y"))</f>
        <v/>
      </c>
      <c r="I36" s="13" t="n"/>
      <c r="J36" s="13" t="n"/>
      <c r="K36" s="13" t="n"/>
      <c r="L36" s="13" t="n"/>
      <c r="M36" s="13" t="n"/>
      <c r="N36" s="13" t="n"/>
      <c r="O36" s="13" t="n"/>
      <c r="P36" s="13" t="n"/>
      <c r="Q36" s="14">
        <f>IF(B36="","",IF(I36&lt;&gt;"","A+",IF(J36&lt;&gt;"","A-",IF(K36&lt;&gt;"","B+",IF(L36&lt;&gt;"","B-",IF(M36&lt;&gt;"","O+",IF(N36&lt;&gt;"","O-",IF(O36&lt;&gt;"","AB+",IF(P36&lt;&gt;"","AB-",""))))))))</f>
        <v/>
      </c>
      <c r="R36" s="13" t="n"/>
      <c r="S36" s="13" t="n"/>
      <c r="T36" s="13" t="n"/>
      <c r="U36" s="13" t="n"/>
      <c r="V36" s="13" t="n"/>
      <c r="W36" s="13" t="n"/>
      <c r="X36" s="14">
        <f>IF(B36="","",IF(R36&lt;&gt;"","/",IF(S36&lt;&gt;"","OPOW",IF(T36&lt;&gt;"","DJS",IF(U36&lt;&gt;"","FCS",IF(V36&lt;&gt;"","RCS",IF(W36&lt;&gt;"","POLICE","")))))))</f>
        <v/>
      </c>
      <c r="Y36" s="12" t="n"/>
      <c r="Z36" s="15">
        <f>IF(Y36="","",Y36+30)</f>
        <v/>
      </c>
      <c r="AA36" s="13" t="n"/>
      <c r="AB36" s="13" t="n"/>
      <c r="AC36" s="13" t="n"/>
      <c r="AD36" s="13" t="n"/>
      <c r="AE36" s="14">
        <f>IF(B36="","",IF(AA36&lt;&gt;"","مدفوع",IF(AB36&lt;&gt;"","لم يدفع",IF(AC36&lt;&gt;"","تأمين فقط",IF(AD36&lt;&gt;"","اشتراك 300","")))))</f>
        <v/>
      </c>
      <c r="AF36" s="16">
        <f>IF(OR(AE36="لم يدفع",B36=""),"",IF(OR(AE36="تأمين فقط",X36="FCS",X36="RCS"),0,IF(OR(AE36="اشتراك 300",X36="POLICE",X36="OPOW",X36="DJS"),300,IF(H36&lt;14,1300,1500))))</f>
        <v/>
      </c>
      <c r="AG36" s="16">
        <f>IF(OR(AE36="لم يدفع",B36=""),"",500)</f>
        <v/>
      </c>
      <c r="AH36" s="16">
        <f>IF(OR(AE36="لم يدفع",AE36="تأمين فقط",AE36="اشتراك 300",X36="OPOW",X36="DJS",X36="FCS",X36="RCS",X36="POLICE",B36=""),"",1000)</f>
        <v/>
      </c>
      <c r="AI36" s="17">
        <f>IF(AE36="لم يدفع","",IF(AF36="","",AF36+AG36))</f>
        <v/>
      </c>
      <c r="AJ36" s="18">
        <f>IF(B36="","",IF(AE36="لم يدفع","🔒 مجمدة",IF(Z36="","",IF(Z36&lt;TODAY(),"⛔ منتهي - يتطلب تجديد",IF(Z36-5&lt;=TODAY(),"⚠️ قريب الانتهاء","✅ ساري")))))</f>
        <v/>
      </c>
      <c r="AK36" s="13" t="n"/>
      <c r="AL36" s="13" t="n"/>
      <c r="AM36" s="13" t="n"/>
      <c r="AN36" s="13" t="n"/>
      <c r="AO36" s="14">
        <f>IF(B36="","",IF(AK36&lt;&gt;"","الأحد والأربعاء",IF(AL36&lt;&gt;"","الاثنين والخميس",IF(AM36&lt;&gt;"","الثلاثاء والجمعة",IF(AN36&lt;&gt;"","كل الأيام","")))))</f>
        <v/>
      </c>
      <c r="AP36" s="13" t="n"/>
      <c r="AQ36" s="13" t="n"/>
      <c r="AR36" s="13" t="n"/>
      <c r="AS36" s="13" t="n"/>
      <c r="AT36" s="14">
        <f>IF(B36="","",IF(AP36&lt;&gt;"","09:00-10:00",IF(AQ36&lt;&gt;"","10:00-11:00",IF(AR36&lt;&gt;"","19:00-20:00",IF(AS36&lt;&gt;"","20:00-21:00","")))))</f>
        <v/>
      </c>
      <c r="AU36" s="19">
        <f>IF(B36="","",COUNTA(التجديد!E36:E36))</f>
        <v/>
      </c>
    </row>
    <row r="37" ht="22" customHeight="1">
      <c r="A37" s="10">
        <f>IF(B37="","","RCS "&amp;TEXT(ROW()-2,"000"))</f>
        <v/>
      </c>
      <c r="B37" s="11" t="n"/>
      <c r="C37" s="11" t="n"/>
      <c r="D37" s="12" t="n"/>
      <c r="E37" s="13" t="n"/>
      <c r="F37" s="13" t="n"/>
      <c r="G37" s="14">
        <f>IF(B37="","",IF(E37&lt;&gt;"","ذكر",IF(F37&lt;&gt;"","أنثى","")))</f>
        <v/>
      </c>
      <c r="H37" s="14">
        <f>IF(D37="","",DATEDIF(D37,TODAY(),"Y"))</f>
        <v/>
      </c>
      <c r="I37" s="13" t="n"/>
      <c r="J37" s="13" t="n"/>
      <c r="K37" s="13" t="n"/>
      <c r="L37" s="13" t="n"/>
      <c r="M37" s="13" t="n"/>
      <c r="N37" s="13" t="n"/>
      <c r="O37" s="13" t="n"/>
      <c r="P37" s="13" t="n"/>
      <c r="Q37" s="14">
        <f>IF(B37="","",IF(I37&lt;&gt;"","A+",IF(J37&lt;&gt;"","A-",IF(K37&lt;&gt;"","B+",IF(L37&lt;&gt;"","B-",IF(M37&lt;&gt;"","O+",IF(N37&lt;&gt;"","O-",IF(O37&lt;&gt;"","AB+",IF(P37&lt;&gt;"","AB-",""))))))))</f>
        <v/>
      </c>
      <c r="R37" s="13" t="n"/>
      <c r="S37" s="13" t="n"/>
      <c r="T37" s="13" t="n"/>
      <c r="U37" s="13" t="n"/>
      <c r="V37" s="13" t="n"/>
      <c r="W37" s="13" t="n"/>
      <c r="X37" s="14">
        <f>IF(B37="","",IF(R37&lt;&gt;"","/",IF(S37&lt;&gt;"","OPOW",IF(T37&lt;&gt;"","DJS",IF(U37&lt;&gt;"","FCS",IF(V37&lt;&gt;"","RCS",IF(W37&lt;&gt;"","POLICE","")))))))</f>
        <v/>
      </c>
      <c r="Y37" s="12" t="n"/>
      <c r="Z37" s="15">
        <f>IF(Y37="","",Y37+30)</f>
        <v/>
      </c>
      <c r="AA37" s="13" t="n"/>
      <c r="AB37" s="13" t="n"/>
      <c r="AC37" s="13" t="n"/>
      <c r="AD37" s="13" t="n"/>
      <c r="AE37" s="14">
        <f>IF(B37="","",IF(AA37&lt;&gt;"","مدفوع",IF(AB37&lt;&gt;"","لم يدفع",IF(AC37&lt;&gt;"","تأمين فقط",IF(AD37&lt;&gt;"","اشتراك 300","")))))</f>
        <v/>
      </c>
      <c r="AF37" s="16">
        <f>IF(OR(AE37="لم يدفع",B37=""),"",IF(OR(AE37="تأمين فقط",X37="FCS",X37="RCS"),0,IF(OR(AE37="اشتراك 300",X37="POLICE",X37="OPOW",X37="DJS"),300,IF(H37&lt;14,1300,1500))))</f>
        <v/>
      </c>
      <c r="AG37" s="16">
        <f>IF(OR(AE37="لم يدفع",B37=""),"",500)</f>
        <v/>
      </c>
      <c r="AH37" s="16">
        <f>IF(OR(AE37="لم يدفع",AE37="تأمين فقط",AE37="اشتراك 300",X37="OPOW",X37="DJS",X37="FCS",X37="RCS",X37="POLICE",B37=""),"",1000)</f>
        <v/>
      </c>
      <c r="AI37" s="17">
        <f>IF(AE37="لم يدفع","",IF(AF37="","",AF37+AG37))</f>
        <v/>
      </c>
      <c r="AJ37" s="18">
        <f>IF(B37="","",IF(AE37="لم يدفع","🔒 مجمدة",IF(Z37="","",IF(Z37&lt;TODAY(),"⛔ منتهي - يتطلب تجديد",IF(Z37-5&lt;=TODAY(),"⚠️ قريب الانتهاء","✅ ساري")))))</f>
        <v/>
      </c>
      <c r="AK37" s="13" t="n"/>
      <c r="AL37" s="13" t="n"/>
      <c r="AM37" s="13" t="n"/>
      <c r="AN37" s="13" t="n"/>
      <c r="AO37" s="14">
        <f>IF(B37="","",IF(AK37&lt;&gt;"","الأحد والأربعاء",IF(AL37&lt;&gt;"","الاثنين والخميس",IF(AM37&lt;&gt;"","الثلاثاء والجمعة",IF(AN37&lt;&gt;"","كل الأيام","")))))</f>
        <v/>
      </c>
      <c r="AP37" s="13" t="n"/>
      <c r="AQ37" s="13" t="n"/>
      <c r="AR37" s="13" t="n"/>
      <c r="AS37" s="13" t="n"/>
      <c r="AT37" s="14">
        <f>IF(B37="","",IF(AP37&lt;&gt;"","09:00-10:00",IF(AQ37&lt;&gt;"","10:00-11:00",IF(AR37&lt;&gt;"","19:00-20:00",IF(AS37&lt;&gt;"","20:00-21:00","")))))</f>
        <v/>
      </c>
      <c r="AU37" s="19">
        <f>IF(B37="","",COUNTA(التجديد!E37:E37))</f>
        <v/>
      </c>
    </row>
    <row r="38" ht="22" customHeight="1">
      <c r="A38" s="10">
        <f>IF(B38="","","RCS "&amp;TEXT(ROW()-2,"000"))</f>
        <v/>
      </c>
      <c r="B38" s="11" t="n"/>
      <c r="C38" s="11" t="n"/>
      <c r="D38" s="12" t="n"/>
      <c r="E38" s="13" t="n"/>
      <c r="F38" s="13" t="n"/>
      <c r="G38" s="14">
        <f>IF(B38="","",IF(E38&lt;&gt;"","ذكر",IF(F38&lt;&gt;"","أنثى","")))</f>
        <v/>
      </c>
      <c r="H38" s="14">
        <f>IF(D38="","",DATEDIF(D38,TODAY(),"Y"))</f>
        <v/>
      </c>
      <c r="I38" s="13" t="n"/>
      <c r="J38" s="13" t="n"/>
      <c r="K38" s="13" t="n"/>
      <c r="L38" s="13" t="n"/>
      <c r="M38" s="13" t="n"/>
      <c r="N38" s="13" t="n"/>
      <c r="O38" s="13" t="n"/>
      <c r="P38" s="13" t="n"/>
      <c r="Q38" s="14">
        <f>IF(B38="","",IF(I38&lt;&gt;"","A+",IF(J38&lt;&gt;"","A-",IF(K38&lt;&gt;"","B+",IF(L38&lt;&gt;"","B-",IF(M38&lt;&gt;"","O+",IF(N38&lt;&gt;"","O-",IF(O38&lt;&gt;"","AB+",IF(P38&lt;&gt;"","AB-",""))))))))</f>
        <v/>
      </c>
      <c r="R38" s="13" t="n"/>
      <c r="S38" s="13" t="n"/>
      <c r="T38" s="13" t="n"/>
      <c r="U38" s="13" t="n"/>
      <c r="V38" s="13" t="n"/>
      <c r="W38" s="13" t="n"/>
      <c r="X38" s="14">
        <f>IF(B38="","",IF(R38&lt;&gt;"","/",IF(S38&lt;&gt;"","OPOW",IF(T38&lt;&gt;"","DJS",IF(U38&lt;&gt;"","FCS",IF(V38&lt;&gt;"","RCS",IF(W38&lt;&gt;"","POLICE","")))))))</f>
        <v/>
      </c>
      <c r="Y38" s="12" t="n"/>
      <c r="Z38" s="15">
        <f>IF(Y38="","",Y38+30)</f>
        <v/>
      </c>
      <c r="AA38" s="13" t="n"/>
      <c r="AB38" s="13" t="n"/>
      <c r="AC38" s="13" t="n"/>
      <c r="AD38" s="13" t="n"/>
      <c r="AE38" s="14">
        <f>IF(B38="","",IF(AA38&lt;&gt;"","مدفوع",IF(AB38&lt;&gt;"","لم يدفع",IF(AC38&lt;&gt;"","تأمين فقط",IF(AD38&lt;&gt;"","اشتراك 300","")))))</f>
        <v/>
      </c>
      <c r="AF38" s="16">
        <f>IF(OR(AE38="لم يدفع",B38=""),"",IF(OR(AE38="تأمين فقط",X38="FCS",X38="RCS"),0,IF(OR(AE38="اشتراك 300",X38="POLICE",X38="OPOW",X38="DJS"),300,IF(H38&lt;14,1300,1500))))</f>
        <v/>
      </c>
      <c r="AG38" s="16">
        <f>IF(OR(AE38="لم يدفع",B38=""),"",500)</f>
        <v/>
      </c>
      <c r="AH38" s="16">
        <f>IF(OR(AE38="لم يدفع",AE38="تأمين فقط",AE38="اشتراك 300",X38="OPOW",X38="DJS",X38="FCS",X38="RCS",X38="POLICE",B38=""),"",1000)</f>
        <v/>
      </c>
      <c r="AI38" s="17">
        <f>IF(AE38="لم يدفع","",IF(AF38="","",AF38+AG38))</f>
        <v/>
      </c>
      <c r="AJ38" s="18">
        <f>IF(B38="","",IF(AE38="لم يدفع","🔒 مجمدة",IF(Z38="","",IF(Z38&lt;TODAY(),"⛔ منتهي - يتطلب تجديد",IF(Z38-5&lt;=TODAY(),"⚠️ قريب الانتهاء","✅ ساري")))))</f>
        <v/>
      </c>
      <c r="AK38" s="13" t="n"/>
      <c r="AL38" s="13" t="n"/>
      <c r="AM38" s="13" t="n"/>
      <c r="AN38" s="13" t="n"/>
      <c r="AO38" s="14">
        <f>IF(B38="","",IF(AK38&lt;&gt;"","الأحد والأربعاء",IF(AL38&lt;&gt;"","الاثنين والخميس",IF(AM38&lt;&gt;"","الثلاثاء والجمعة",IF(AN38&lt;&gt;"","كل الأيام","")))))</f>
        <v/>
      </c>
      <c r="AP38" s="13" t="n"/>
      <c r="AQ38" s="13" t="n"/>
      <c r="AR38" s="13" t="n"/>
      <c r="AS38" s="13" t="n"/>
      <c r="AT38" s="14">
        <f>IF(B38="","",IF(AP38&lt;&gt;"","09:00-10:00",IF(AQ38&lt;&gt;"","10:00-11:00",IF(AR38&lt;&gt;"","19:00-20:00",IF(AS38&lt;&gt;"","20:00-21:00","")))))</f>
        <v/>
      </c>
      <c r="AU38" s="19">
        <f>IF(B38="","",COUNTA(التجديد!E38:E38))</f>
        <v/>
      </c>
    </row>
    <row r="39" ht="22" customHeight="1">
      <c r="A39" s="10">
        <f>IF(B39="","","RCS "&amp;TEXT(ROW()-2,"000"))</f>
        <v/>
      </c>
      <c r="B39" s="11" t="n"/>
      <c r="C39" s="11" t="n"/>
      <c r="D39" s="12" t="n"/>
      <c r="E39" s="13" t="n"/>
      <c r="F39" s="13" t="n"/>
      <c r="G39" s="14">
        <f>IF(B39="","",IF(E39&lt;&gt;"","ذكر",IF(F39&lt;&gt;"","أنثى","")))</f>
        <v/>
      </c>
      <c r="H39" s="14">
        <f>IF(D39="","",DATEDIF(D39,TODAY(),"Y"))</f>
        <v/>
      </c>
      <c r="I39" s="13" t="n"/>
      <c r="J39" s="13" t="n"/>
      <c r="K39" s="13" t="n"/>
      <c r="L39" s="13" t="n"/>
      <c r="M39" s="13" t="n"/>
      <c r="N39" s="13" t="n"/>
      <c r="O39" s="13" t="n"/>
      <c r="P39" s="13" t="n"/>
      <c r="Q39" s="14">
        <f>IF(B39="","",IF(I39&lt;&gt;"","A+",IF(J39&lt;&gt;"","A-",IF(K39&lt;&gt;"","B+",IF(L39&lt;&gt;"","B-",IF(M39&lt;&gt;"","O+",IF(N39&lt;&gt;"","O-",IF(O39&lt;&gt;"","AB+",IF(P39&lt;&gt;"","AB-",""))))))))</f>
        <v/>
      </c>
      <c r="R39" s="13" t="n"/>
      <c r="S39" s="13" t="n"/>
      <c r="T39" s="13" t="n"/>
      <c r="U39" s="13" t="n"/>
      <c r="V39" s="13" t="n"/>
      <c r="W39" s="13" t="n"/>
      <c r="X39" s="14">
        <f>IF(B39="","",IF(R39&lt;&gt;"","/",IF(S39&lt;&gt;"","OPOW",IF(T39&lt;&gt;"","DJS",IF(U39&lt;&gt;"","FCS",IF(V39&lt;&gt;"","RCS",IF(W39&lt;&gt;"","POLICE","")))))))</f>
        <v/>
      </c>
      <c r="Y39" s="12" t="n"/>
      <c r="Z39" s="15">
        <f>IF(Y39="","",Y39+30)</f>
        <v/>
      </c>
      <c r="AA39" s="13" t="n"/>
      <c r="AB39" s="13" t="n"/>
      <c r="AC39" s="13" t="n"/>
      <c r="AD39" s="13" t="n"/>
      <c r="AE39" s="14">
        <f>IF(B39="","",IF(AA39&lt;&gt;"","مدفوع",IF(AB39&lt;&gt;"","لم يدفع",IF(AC39&lt;&gt;"","تأمين فقط",IF(AD39&lt;&gt;"","اشتراك 300","")))))</f>
        <v/>
      </c>
      <c r="AF39" s="16">
        <f>IF(OR(AE39="لم يدفع",B39=""),"",IF(OR(AE39="تأمين فقط",X39="FCS",X39="RCS"),0,IF(OR(AE39="اشتراك 300",X39="POLICE",X39="OPOW",X39="DJS"),300,IF(H39&lt;14,1300,1500))))</f>
        <v/>
      </c>
      <c r="AG39" s="16">
        <f>IF(OR(AE39="لم يدفع",B39=""),"",500)</f>
        <v/>
      </c>
      <c r="AH39" s="16">
        <f>IF(OR(AE39="لم يدفع",AE39="تأمين فقط",AE39="اشتراك 300",X39="OPOW",X39="DJS",X39="FCS",X39="RCS",X39="POLICE",B39=""),"",1000)</f>
        <v/>
      </c>
      <c r="AI39" s="17">
        <f>IF(AE39="لم يدفع","",IF(AF39="","",AF39+AG39))</f>
        <v/>
      </c>
      <c r="AJ39" s="18">
        <f>IF(B39="","",IF(AE39="لم يدفع","🔒 مجمدة",IF(Z39="","",IF(Z39&lt;TODAY(),"⛔ منتهي - يتطلب تجديد",IF(Z39-5&lt;=TODAY(),"⚠️ قريب الانتهاء","✅ ساري")))))</f>
        <v/>
      </c>
      <c r="AK39" s="13" t="n"/>
      <c r="AL39" s="13" t="n"/>
      <c r="AM39" s="13" t="n"/>
      <c r="AN39" s="13" t="n"/>
      <c r="AO39" s="14">
        <f>IF(B39="","",IF(AK39&lt;&gt;"","الأحد والأربعاء",IF(AL39&lt;&gt;"","الاثنين والخميس",IF(AM39&lt;&gt;"","الثلاثاء والجمعة",IF(AN39&lt;&gt;"","كل الأيام","")))))</f>
        <v/>
      </c>
      <c r="AP39" s="13" t="n"/>
      <c r="AQ39" s="13" t="n"/>
      <c r="AR39" s="13" t="n"/>
      <c r="AS39" s="13" t="n"/>
      <c r="AT39" s="14">
        <f>IF(B39="","",IF(AP39&lt;&gt;"","09:00-10:00",IF(AQ39&lt;&gt;"","10:00-11:00",IF(AR39&lt;&gt;"","19:00-20:00",IF(AS39&lt;&gt;"","20:00-21:00","")))))</f>
        <v/>
      </c>
      <c r="AU39" s="19">
        <f>IF(B39="","",COUNTA(التجديد!E39:E39))</f>
        <v/>
      </c>
    </row>
    <row r="40" ht="22" customHeight="1">
      <c r="A40" s="10">
        <f>IF(B40="","","RCS "&amp;TEXT(ROW()-2,"000"))</f>
        <v/>
      </c>
      <c r="B40" s="11" t="n"/>
      <c r="C40" s="11" t="n"/>
      <c r="D40" s="12" t="n"/>
      <c r="E40" s="13" t="n"/>
      <c r="F40" s="13" t="n"/>
      <c r="G40" s="14">
        <f>IF(B40="","",IF(E40&lt;&gt;"","ذكر",IF(F40&lt;&gt;"","أنثى","")))</f>
        <v/>
      </c>
      <c r="H40" s="14">
        <f>IF(D40="","",DATEDIF(D40,TODAY(),"Y"))</f>
        <v/>
      </c>
      <c r="I40" s="13" t="n"/>
      <c r="J40" s="13" t="n"/>
      <c r="K40" s="13" t="n"/>
      <c r="L40" s="13" t="n"/>
      <c r="M40" s="13" t="n"/>
      <c r="N40" s="13" t="n"/>
      <c r="O40" s="13" t="n"/>
      <c r="P40" s="13" t="n"/>
      <c r="Q40" s="14">
        <f>IF(B40="","",IF(I40&lt;&gt;"","A+",IF(J40&lt;&gt;"","A-",IF(K40&lt;&gt;"","B+",IF(L40&lt;&gt;"","B-",IF(M40&lt;&gt;"","O+",IF(N40&lt;&gt;"","O-",IF(O40&lt;&gt;"","AB+",IF(P40&lt;&gt;"","AB-",""))))))))</f>
        <v/>
      </c>
      <c r="R40" s="13" t="n"/>
      <c r="S40" s="13" t="n"/>
      <c r="T40" s="13" t="n"/>
      <c r="U40" s="13" t="n"/>
      <c r="V40" s="13" t="n"/>
      <c r="W40" s="13" t="n"/>
      <c r="X40" s="14">
        <f>IF(B40="","",IF(R40&lt;&gt;"","/",IF(S40&lt;&gt;"","OPOW",IF(T40&lt;&gt;"","DJS",IF(U40&lt;&gt;"","FCS",IF(V40&lt;&gt;"","RCS",IF(W40&lt;&gt;"","POLICE","")))))))</f>
        <v/>
      </c>
      <c r="Y40" s="12" t="n"/>
      <c r="Z40" s="15">
        <f>IF(Y40="","",Y40+30)</f>
        <v/>
      </c>
      <c r="AA40" s="13" t="n"/>
      <c r="AB40" s="13" t="n"/>
      <c r="AC40" s="13" t="n"/>
      <c r="AD40" s="13" t="n"/>
      <c r="AE40" s="14">
        <f>IF(B40="","",IF(AA40&lt;&gt;"","مدفوع",IF(AB40&lt;&gt;"","لم يدفع",IF(AC40&lt;&gt;"","تأمين فقط",IF(AD40&lt;&gt;"","اشتراك 300","")))))</f>
        <v/>
      </c>
      <c r="AF40" s="16">
        <f>IF(OR(AE40="لم يدفع",B40=""),"",IF(OR(AE40="تأمين فقط",X40="FCS",X40="RCS"),0,IF(OR(AE40="اشتراك 300",X40="POLICE",X40="OPOW",X40="DJS"),300,IF(H40&lt;14,1300,1500))))</f>
        <v/>
      </c>
      <c r="AG40" s="16">
        <f>IF(OR(AE40="لم يدفع",B40=""),"",500)</f>
        <v/>
      </c>
      <c r="AH40" s="16">
        <f>IF(OR(AE40="لم يدفع",AE40="تأمين فقط",AE40="اشتراك 300",X40="OPOW",X40="DJS",X40="FCS",X40="RCS",X40="POLICE",B40=""),"",1000)</f>
        <v/>
      </c>
      <c r="AI40" s="17">
        <f>IF(AE40="لم يدفع","",IF(AF40="","",AF40+AG40))</f>
        <v/>
      </c>
      <c r="AJ40" s="18">
        <f>IF(B40="","",IF(AE40="لم يدفع","🔒 مجمدة",IF(Z40="","",IF(Z40&lt;TODAY(),"⛔ منتهي - يتطلب تجديد",IF(Z40-5&lt;=TODAY(),"⚠️ قريب الانتهاء","✅ ساري")))))</f>
        <v/>
      </c>
      <c r="AK40" s="13" t="n"/>
      <c r="AL40" s="13" t="n"/>
      <c r="AM40" s="13" t="n"/>
      <c r="AN40" s="13" t="n"/>
      <c r="AO40" s="14">
        <f>IF(B40="","",IF(AK40&lt;&gt;"","الأحد والأربعاء",IF(AL40&lt;&gt;"","الاثنين والخميس",IF(AM40&lt;&gt;"","الثلاثاء والجمعة",IF(AN40&lt;&gt;"","كل الأيام","")))))</f>
        <v/>
      </c>
      <c r="AP40" s="13" t="n"/>
      <c r="AQ40" s="13" t="n"/>
      <c r="AR40" s="13" t="n"/>
      <c r="AS40" s="13" t="n"/>
      <c r="AT40" s="14">
        <f>IF(B40="","",IF(AP40&lt;&gt;"","09:00-10:00",IF(AQ40&lt;&gt;"","10:00-11:00",IF(AR40&lt;&gt;"","19:00-20:00",IF(AS40&lt;&gt;"","20:00-21:00","")))))</f>
        <v/>
      </c>
      <c r="AU40" s="19">
        <f>IF(B40="","",COUNTA(التجديد!E40:E40))</f>
        <v/>
      </c>
    </row>
    <row r="41" ht="22" customHeight="1">
      <c r="A41" s="10">
        <f>IF(B41="","","RCS "&amp;TEXT(ROW()-2,"000"))</f>
        <v/>
      </c>
      <c r="B41" s="11" t="n"/>
      <c r="C41" s="11" t="n"/>
      <c r="D41" s="12" t="n"/>
      <c r="E41" s="13" t="n"/>
      <c r="F41" s="13" t="n"/>
      <c r="G41" s="14">
        <f>IF(B41="","",IF(E41&lt;&gt;"","ذكر",IF(F41&lt;&gt;"","أنثى","")))</f>
        <v/>
      </c>
      <c r="H41" s="14">
        <f>IF(D41="","",DATEDIF(D41,TODAY(),"Y"))</f>
        <v/>
      </c>
      <c r="I41" s="13" t="n"/>
      <c r="J41" s="13" t="n"/>
      <c r="K41" s="13" t="n"/>
      <c r="L41" s="13" t="n"/>
      <c r="M41" s="13" t="n"/>
      <c r="N41" s="13" t="n"/>
      <c r="O41" s="13" t="n"/>
      <c r="P41" s="13" t="n"/>
      <c r="Q41" s="14">
        <f>IF(B41="","",IF(I41&lt;&gt;"","A+",IF(J41&lt;&gt;"","A-",IF(K41&lt;&gt;"","B+",IF(L41&lt;&gt;"","B-",IF(M41&lt;&gt;"","O+",IF(N41&lt;&gt;"","O-",IF(O41&lt;&gt;"","AB+",IF(P41&lt;&gt;"","AB-",""))))))))</f>
        <v/>
      </c>
      <c r="R41" s="13" t="n"/>
      <c r="S41" s="13" t="n"/>
      <c r="T41" s="13" t="n"/>
      <c r="U41" s="13" t="n"/>
      <c r="V41" s="13" t="n"/>
      <c r="W41" s="13" t="n"/>
      <c r="X41" s="14">
        <f>IF(B41="","",IF(R41&lt;&gt;"","/",IF(S41&lt;&gt;"","OPOW",IF(T41&lt;&gt;"","DJS",IF(U41&lt;&gt;"","FCS",IF(V41&lt;&gt;"","RCS",IF(W41&lt;&gt;"","POLICE","")))))))</f>
        <v/>
      </c>
      <c r="Y41" s="12" t="n"/>
      <c r="Z41" s="15">
        <f>IF(Y41="","",Y41+30)</f>
        <v/>
      </c>
      <c r="AA41" s="13" t="n"/>
      <c r="AB41" s="13" t="n"/>
      <c r="AC41" s="13" t="n"/>
      <c r="AD41" s="13" t="n"/>
      <c r="AE41" s="14">
        <f>IF(B41="","",IF(AA41&lt;&gt;"","مدفوع",IF(AB41&lt;&gt;"","لم يدفع",IF(AC41&lt;&gt;"","تأمين فقط",IF(AD41&lt;&gt;"","اشتراك 300","")))))</f>
        <v/>
      </c>
      <c r="AF41" s="16">
        <f>IF(OR(AE41="لم يدفع",B41=""),"",IF(OR(AE41="تأمين فقط",X41="FCS",X41="RCS"),0,IF(OR(AE41="اشتراك 300",X41="POLICE",X41="OPOW",X41="DJS"),300,IF(H41&lt;14,1300,1500))))</f>
        <v/>
      </c>
      <c r="AG41" s="16">
        <f>IF(OR(AE41="لم يدفع",B41=""),"",500)</f>
        <v/>
      </c>
      <c r="AH41" s="16">
        <f>IF(OR(AE41="لم يدفع",AE41="تأمين فقط",AE41="اشتراك 300",X41="OPOW",X41="DJS",X41="FCS",X41="RCS",X41="POLICE",B41=""),"",1000)</f>
        <v/>
      </c>
      <c r="AI41" s="17">
        <f>IF(AE41="لم يدفع","",IF(AF41="","",AF41+AG41))</f>
        <v/>
      </c>
      <c r="AJ41" s="18">
        <f>IF(B41="","",IF(AE41="لم يدفع","🔒 مجمدة",IF(Z41="","",IF(Z41&lt;TODAY(),"⛔ منتهي - يتطلب تجديد",IF(Z41-5&lt;=TODAY(),"⚠️ قريب الانتهاء","✅ ساري")))))</f>
        <v/>
      </c>
      <c r="AK41" s="13" t="n"/>
      <c r="AL41" s="13" t="n"/>
      <c r="AM41" s="13" t="n"/>
      <c r="AN41" s="13" t="n"/>
      <c r="AO41" s="14">
        <f>IF(B41="","",IF(AK41&lt;&gt;"","الأحد والأربعاء",IF(AL41&lt;&gt;"","الاثنين والخميس",IF(AM41&lt;&gt;"","الثلاثاء والجمعة",IF(AN41&lt;&gt;"","كل الأيام","")))))</f>
        <v/>
      </c>
      <c r="AP41" s="13" t="n"/>
      <c r="AQ41" s="13" t="n"/>
      <c r="AR41" s="13" t="n"/>
      <c r="AS41" s="13" t="n"/>
      <c r="AT41" s="14">
        <f>IF(B41="","",IF(AP41&lt;&gt;"","09:00-10:00",IF(AQ41&lt;&gt;"","10:00-11:00",IF(AR41&lt;&gt;"","19:00-20:00",IF(AS41&lt;&gt;"","20:00-21:00","")))))</f>
        <v/>
      </c>
      <c r="AU41" s="19">
        <f>IF(B41="","",COUNTA(التجديد!E41:E41))</f>
        <v/>
      </c>
    </row>
    <row r="42" ht="22" customHeight="1">
      <c r="A42" s="10">
        <f>IF(B42="","","RCS "&amp;TEXT(ROW()-2,"000"))</f>
        <v/>
      </c>
      <c r="B42" s="11" t="n"/>
      <c r="C42" s="11" t="n"/>
      <c r="D42" s="12" t="n"/>
      <c r="E42" s="13" t="n"/>
      <c r="F42" s="13" t="n"/>
      <c r="G42" s="14">
        <f>IF(B42="","",IF(E42&lt;&gt;"","ذكر",IF(F42&lt;&gt;"","أنثى","")))</f>
        <v/>
      </c>
      <c r="H42" s="14">
        <f>IF(D42="","",DATEDIF(D42,TODAY(),"Y"))</f>
        <v/>
      </c>
      <c r="I42" s="13" t="n"/>
      <c r="J42" s="13" t="n"/>
      <c r="K42" s="13" t="n"/>
      <c r="L42" s="13" t="n"/>
      <c r="M42" s="13" t="n"/>
      <c r="N42" s="13" t="n"/>
      <c r="O42" s="13" t="n"/>
      <c r="P42" s="13" t="n"/>
      <c r="Q42" s="14">
        <f>IF(B42="","",IF(I42&lt;&gt;"","A+",IF(J42&lt;&gt;"","A-",IF(K42&lt;&gt;"","B+",IF(L42&lt;&gt;"","B-",IF(M42&lt;&gt;"","O+",IF(N42&lt;&gt;"","O-",IF(O42&lt;&gt;"","AB+",IF(P42&lt;&gt;"","AB-",""))))))))</f>
        <v/>
      </c>
      <c r="R42" s="13" t="n"/>
      <c r="S42" s="13" t="n"/>
      <c r="T42" s="13" t="n"/>
      <c r="U42" s="13" t="n"/>
      <c r="V42" s="13" t="n"/>
      <c r="W42" s="13" t="n"/>
      <c r="X42" s="14">
        <f>IF(B42="","",IF(R42&lt;&gt;"","/",IF(S42&lt;&gt;"","OPOW",IF(T42&lt;&gt;"","DJS",IF(U42&lt;&gt;"","FCS",IF(V42&lt;&gt;"","RCS",IF(W42&lt;&gt;"","POLICE","")))))))</f>
        <v/>
      </c>
      <c r="Y42" s="12" t="n"/>
      <c r="Z42" s="15">
        <f>IF(Y42="","",Y42+30)</f>
        <v/>
      </c>
      <c r="AA42" s="13" t="n"/>
      <c r="AB42" s="13" t="n"/>
      <c r="AC42" s="13" t="n"/>
      <c r="AD42" s="13" t="n"/>
      <c r="AE42" s="14">
        <f>IF(B42="","",IF(AA42&lt;&gt;"","مدفوع",IF(AB42&lt;&gt;"","لم يدفع",IF(AC42&lt;&gt;"","تأمين فقط",IF(AD42&lt;&gt;"","اشتراك 300","")))))</f>
        <v/>
      </c>
      <c r="AF42" s="16">
        <f>IF(OR(AE42="لم يدفع",B42=""),"",IF(OR(AE42="تأمين فقط",X42="FCS",X42="RCS"),0,IF(OR(AE42="اشتراك 300",X42="POLICE",X42="OPOW",X42="DJS"),300,IF(H42&lt;14,1300,1500))))</f>
        <v/>
      </c>
      <c r="AG42" s="16">
        <f>IF(OR(AE42="لم يدفع",B42=""),"",500)</f>
        <v/>
      </c>
      <c r="AH42" s="16">
        <f>IF(OR(AE42="لم يدفع",AE42="تأمين فقط",AE42="اشتراك 300",X42="OPOW",X42="DJS",X42="FCS",X42="RCS",X42="POLICE",B42=""),"",1000)</f>
        <v/>
      </c>
      <c r="AI42" s="17">
        <f>IF(AE42="لم يدفع","",IF(AF42="","",AF42+AG42))</f>
        <v/>
      </c>
      <c r="AJ42" s="18">
        <f>IF(B42="","",IF(AE42="لم يدفع","🔒 مجمدة",IF(Z42="","",IF(Z42&lt;TODAY(),"⛔ منتهي - يتطلب تجديد",IF(Z42-5&lt;=TODAY(),"⚠️ قريب الانتهاء","✅ ساري")))))</f>
        <v/>
      </c>
      <c r="AK42" s="13" t="n"/>
      <c r="AL42" s="13" t="n"/>
      <c r="AM42" s="13" t="n"/>
      <c r="AN42" s="13" t="n"/>
      <c r="AO42" s="14">
        <f>IF(B42="","",IF(AK42&lt;&gt;"","الأحد والأربعاء",IF(AL42&lt;&gt;"","الاثنين والخميس",IF(AM42&lt;&gt;"","الثلاثاء والجمعة",IF(AN42&lt;&gt;"","كل الأيام","")))))</f>
        <v/>
      </c>
      <c r="AP42" s="13" t="n"/>
      <c r="AQ42" s="13" t="n"/>
      <c r="AR42" s="13" t="n"/>
      <c r="AS42" s="13" t="n"/>
      <c r="AT42" s="14">
        <f>IF(B42="","",IF(AP42&lt;&gt;"","09:00-10:00",IF(AQ42&lt;&gt;"","10:00-11:00",IF(AR42&lt;&gt;"","19:00-20:00",IF(AS42&lt;&gt;"","20:00-21:00","")))))</f>
        <v/>
      </c>
      <c r="AU42" s="19">
        <f>IF(B42="","",COUNTA(التجديد!E42:E42))</f>
        <v/>
      </c>
    </row>
    <row r="43" ht="22" customHeight="1">
      <c r="A43" s="10">
        <f>IF(B43="","","RCS "&amp;TEXT(ROW()-2,"000"))</f>
        <v/>
      </c>
      <c r="B43" s="11" t="n"/>
      <c r="C43" s="11" t="n"/>
      <c r="D43" s="12" t="n"/>
      <c r="E43" s="13" t="n"/>
      <c r="F43" s="13" t="n"/>
      <c r="G43" s="14">
        <f>IF(B43="","",IF(E43&lt;&gt;"","ذكر",IF(F43&lt;&gt;"","أنثى","")))</f>
        <v/>
      </c>
      <c r="H43" s="14">
        <f>IF(D43="","",DATEDIF(D43,TODAY(),"Y"))</f>
        <v/>
      </c>
      <c r="I43" s="13" t="n"/>
      <c r="J43" s="13" t="n"/>
      <c r="K43" s="13" t="n"/>
      <c r="L43" s="13" t="n"/>
      <c r="M43" s="13" t="n"/>
      <c r="N43" s="13" t="n"/>
      <c r="O43" s="13" t="n"/>
      <c r="P43" s="13" t="n"/>
      <c r="Q43" s="14">
        <f>IF(B43="","",IF(I43&lt;&gt;"","A+",IF(J43&lt;&gt;"","A-",IF(K43&lt;&gt;"","B+",IF(L43&lt;&gt;"","B-",IF(M43&lt;&gt;"","O+",IF(N43&lt;&gt;"","O-",IF(O43&lt;&gt;"","AB+",IF(P43&lt;&gt;"","AB-",""))))))))</f>
        <v/>
      </c>
      <c r="R43" s="13" t="n"/>
      <c r="S43" s="13" t="n"/>
      <c r="T43" s="13" t="n"/>
      <c r="U43" s="13" t="n"/>
      <c r="V43" s="13" t="n"/>
      <c r="W43" s="13" t="n"/>
      <c r="X43" s="14">
        <f>IF(B43="","",IF(R43&lt;&gt;"","/",IF(S43&lt;&gt;"","OPOW",IF(T43&lt;&gt;"","DJS",IF(U43&lt;&gt;"","FCS",IF(V43&lt;&gt;"","RCS",IF(W43&lt;&gt;"","POLICE","")))))))</f>
        <v/>
      </c>
      <c r="Y43" s="12" t="n"/>
      <c r="Z43" s="15">
        <f>IF(Y43="","",Y43+30)</f>
        <v/>
      </c>
      <c r="AA43" s="13" t="n"/>
      <c r="AB43" s="13" t="n"/>
      <c r="AC43" s="13" t="n"/>
      <c r="AD43" s="13" t="n"/>
      <c r="AE43" s="14">
        <f>IF(B43="","",IF(AA43&lt;&gt;"","مدفوع",IF(AB43&lt;&gt;"","لم يدفع",IF(AC43&lt;&gt;"","تأمين فقط",IF(AD43&lt;&gt;"","اشتراك 300","")))))</f>
        <v/>
      </c>
      <c r="AF43" s="16">
        <f>IF(OR(AE43="لم يدفع",B43=""),"",IF(OR(AE43="تأمين فقط",X43="FCS",X43="RCS"),0,IF(OR(AE43="اشتراك 300",X43="POLICE",X43="OPOW",X43="DJS"),300,IF(H43&lt;14,1300,1500))))</f>
        <v/>
      </c>
      <c r="AG43" s="16">
        <f>IF(OR(AE43="لم يدفع",B43=""),"",500)</f>
        <v/>
      </c>
      <c r="AH43" s="16">
        <f>IF(OR(AE43="لم يدفع",AE43="تأمين فقط",AE43="اشتراك 300",X43="OPOW",X43="DJS",X43="FCS",X43="RCS",X43="POLICE",B43=""),"",1000)</f>
        <v/>
      </c>
      <c r="AI43" s="17">
        <f>IF(AE43="لم يدفع","",IF(AF43="","",AF43+AG43))</f>
        <v/>
      </c>
      <c r="AJ43" s="18">
        <f>IF(B43="","",IF(AE43="لم يدفع","🔒 مجمدة",IF(Z43="","",IF(Z43&lt;TODAY(),"⛔ منتهي - يتطلب تجديد",IF(Z43-5&lt;=TODAY(),"⚠️ قريب الانتهاء","✅ ساري")))))</f>
        <v/>
      </c>
      <c r="AK43" s="13" t="n"/>
      <c r="AL43" s="13" t="n"/>
      <c r="AM43" s="13" t="n"/>
      <c r="AN43" s="13" t="n"/>
      <c r="AO43" s="14">
        <f>IF(B43="","",IF(AK43&lt;&gt;"","الأحد والأربعاء",IF(AL43&lt;&gt;"","الاثنين والخميس",IF(AM43&lt;&gt;"","الثلاثاء والجمعة",IF(AN43&lt;&gt;"","كل الأيام","")))))</f>
        <v/>
      </c>
      <c r="AP43" s="13" t="n"/>
      <c r="AQ43" s="13" t="n"/>
      <c r="AR43" s="13" t="n"/>
      <c r="AS43" s="13" t="n"/>
      <c r="AT43" s="14">
        <f>IF(B43="","",IF(AP43&lt;&gt;"","09:00-10:00",IF(AQ43&lt;&gt;"","10:00-11:00",IF(AR43&lt;&gt;"","19:00-20:00",IF(AS43&lt;&gt;"","20:00-21:00","")))))</f>
        <v/>
      </c>
      <c r="AU43" s="19">
        <f>IF(B43="","",COUNTA(التجديد!E43:E43))</f>
        <v/>
      </c>
    </row>
    <row r="44" ht="22" customHeight="1">
      <c r="A44" s="10">
        <f>IF(B44="","","RCS "&amp;TEXT(ROW()-2,"000"))</f>
        <v/>
      </c>
      <c r="B44" s="11" t="n"/>
      <c r="C44" s="11" t="n"/>
      <c r="D44" s="12" t="n"/>
      <c r="E44" s="13" t="n"/>
      <c r="F44" s="13" t="n"/>
      <c r="G44" s="14">
        <f>IF(B44="","",IF(E44&lt;&gt;"","ذكر",IF(F44&lt;&gt;"","أنثى","")))</f>
        <v/>
      </c>
      <c r="H44" s="14">
        <f>IF(D44="","",DATEDIF(D44,TODAY(),"Y"))</f>
        <v/>
      </c>
      <c r="I44" s="13" t="n"/>
      <c r="J44" s="13" t="n"/>
      <c r="K44" s="13" t="n"/>
      <c r="L44" s="13" t="n"/>
      <c r="M44" s="13" t="n"/>
      <c r="N44" s="13" t="n"/>
      <c r="O44" s="13" t="n"/>
      <c r="P44" s="13" t="n"/>
      <c r="Q44" s="14">
        <f>IF(B44="","",IF(I44&lt;&gt;"","A+",IF(J44&lt;&gt;"","A-",IF(K44&lt;&gt;"","B+",IF(L44&lt;&gt;"","B-",IF(M44&lt;&gt;"","O+",IF(N44&lt;&gt;"","O-",IF(O44&lt;&gt;"","AB+",IF(P44&lt;&gt;"","AB-",""))))))))</f>
        <v/>
      </c>
      <c r="R44" s="13" t="n"/>
      <c r="S44" s="13" t="n"/>
      <c r="T44" s="13" t="n"/>
      <c r="U44" s="13" t="n"/>
      <c r="V44" s="13" t="n"/>
      <c r="W44" s="13" t="n"/>
      <c r="X44" s="14">
        <f>IF(B44="","",IF(R44&lt;&gt;"","/",IF(S44&lt;&gt;"","OPOW",IF(T44&lt;&gt;"","DJS",IF(U44&lt;&gt;"","FCS",IF(V44&lt;&gt;"","RCS",IF(W44&lt;&gt;"","POLICE","")))))))</f>
        <v/>
      </c>
      <c r="Y44" s="12" t="n"/>
      <c r="Z44" s="15">
        <f>IF(Y44="","",Y44+30)</f>
        <v/>
      </c>
      <c r="AA44" s="13" t="n"/>
      <c r="AB44" s="13" t="n"/>
      <c r="AC44" s="13" t="n"/>
      <c r="AD44" s="13" t="n"/>
      <c r="AE44" s="14">
        <f>IF(B44="","",IF(AA44&lt;&gt;"","مدفوع",IF(AB44&lt;&gt;"","لم يدفع",IF(AC44&lt;&gt;"","تأمين فقط",IF(AD44&lt;&gt;"","اشتراك 300","")))))</f>
        <v/>
      </c>
      <c r="AF44" s="16">
        <f>IF(OR(AE44="لم يدفع",B44=""),"",IF(OR(AE44="تأمين فقط",X44="FCS",X44="RCS"),0,IF(OR(AE44="اشتراك 300",X44="POLICE",X44="OPOW",X44="DJS"),300,IF(H44&lt;14,1300,1500))))</f>
        <v/>
      </c>
      <c r="AG44" s="16">
        <f>IF(OR(AE44="لم يدفع",B44=""),"",500)</f>
        <v/>
      </c>
      <c r="AH44" s="16">
        <f>IF(OR(AE44="لم يدفع",AE44="تأمين فقط",AE44="اشتراك 300",X44="OPOW",X44="DJS",X44="FCS",X44="RCS",X44="POLICE",B44=""),"",1000)</f>
        <v/>
      </c>
      <c r="AI44" s="17">
        <f>IF(AE44="لم يدفع","",IF(AF44="","",AF44+AG44))</f>
        <v/>
      </c>
      <c r="AJ44" s="18">
        <f>IF(B44="","",IF(AE44="لم يدفع","🔒 مجمدة",IF(Z44="","",IF(Z44&lt;TODAY(),"⛔ منتهي - يتطلب تجديد",IF(Z44-5&lt;=TODAY(),"⚠️ قريب الانتهاء","✅ ساري")))))</f>
        <v/>
      </c>
      <c r="AK44" s="13" t="n"/>
      <c r="AL44" s="13" t="n"/>
      <c r="AM44" s="13" t="n"/>
      <c r="AN44" s="13" t="n"/>
      <c r="AO44" s="14">
        <f>IF(B44="","",IF(AK44&lt;&gt;"","الأحد والأربعاء",IF(AL44&lt;&gt;"","الاثنين والخميس",IF(AM44&lt;&gt;"","الثلاثاء والجمعة",IF(AN44&lt;&gt;"","كل الأيام","")))))</f>
        <v/>
      </c>
      <c r="AP44" s="13" t="n"/>
      <c r="AQ44" s="13" t="n"/>
      <c r="AR44" s="13" t="n"/>
      <c r="AS44" s="13" t="n"/>
      <c r="AT44" s="14">
        <f>IF(B44="","",IF(AP44&lt;&gt;"","09:00-10:00",IF(AQ44&lt;&gt;"","10:00-11:00",IF(AR44&lt;&gt;"","19:00-20:00",IF(AS44&lt;&gt;"","20:00-21:00","")))))</f>
        <v/>
      </c>
      <c r="AU44" s="19">
        <f>IF(B44="","",COUNTA(التجديد!E44:E44))</f>
        <v/>
      </c>
    </row>
    <row r="45" ht="22" customHeight="1">
      <c r="A45" s="10">
        <f>IF(B45="","","RCS "&amp;TEXT(ROW()-2,"000"))</f>
        <v/>
      </c>
      <c r="B45" s="11" t="n"/>
      <c r="C45" s="11" t="n"/>
      <c r="D45" s="12" t="n"/>
      <c r="E45" s="13" t="n"/>
      <c r="F45" s="13" t="n"/>
      <c r="G45" s="14">
        <f>IF(B45="","",IF(E45&lt;&gt;"","ذكر",IF(F45&lt;&gt;"","أنثى","")))</f>
        <v/>
      </c>
      <c r="H45" s="14">
        <f>IF(D45="","",DATEDIF(D45,TODAY(),"Y"))</f>
        <v/>
      </c>
      <c r="I45" s="13" t="n"/>
      <c r="J45" s="13" t="n"/>
      <c r="K45" s="13" t="n"/>
      <c r="L45" s="13" t="n"/>
      <c r="M45" s="13" t="n"/>
      <c r="N45" s="13" t="n"/>
      <c r="O45" s="13" t="n"/>
      <c r="P45" s="13" t="n"/>
      <c r="Q45" s="14">
        <f>IF(B45="","",IF(I45&lt;&gt;"","A+",IF(J45&lt;&gt;"","A-",IF(K45&lt;&gt;"","B+",IF(L45&lt;&gt;"","B-",IF(M45&lt;&gt;"","O+",IF(N45&lt;&gt;"","O-",IF(O45&lt;&gt;"","AB+",IF(P45&lt;&gt;"","AB-",""))))))))</f>
        <v/>
      </c>
      <c r="R45" s="13" t="n"/>
      <c r="S45" s="13" t="n"/>
      <c r="T45" s="13" t="n"/>
      <c r="U45" s="13" t="n"/>
      <c r="V45" s="13" t="n"/>
      <c r="W45" s="13" t="n"/>
      <c r="X45" s="14">
        <f>IF(B45="","",IF(R45&lt;&gt;"","/",IF(S45&lt;&gt;"","OPOW",IF(T45&lt;&gt;"","DJS",IF(U45&lt;&gt;"","FCS",IF(V45&lt;&gt;"","RCS",IF(W45&lt;&gt;"","POLICE","")))))))</f>
        <v/>
      </c>
      <c r="Y45" s="12" t="n"/>
      <c r="Z45" s="15">
        <f>IF(Y45="","",Y45+30)</f>
        <v/>
      </c>
      <c r="AA45" s="13" t="n"/>
      <c r="AB45" s="13" t="n"/>
      <c r="AC45" s="13" t="n"/>
      <c r="AD45" s="13" t="n"/>
      <c r="AE45" s="14">
        <f>IF(B45="","",IF(AA45&lt;&gt;"","مدفوع",IF(AB45&lt;&gt;"","لم يدفع",IF(AC45&lt;&gt;"","تأمين فقط",IF(AD45&lt;&gt;"","اشتراك 300","")))))</f>
        <v/>
      </c>
      <c r="AF45" s="16">
        <f>IF(OR(AE45="لم يدفع",B45=""),"",IF(OR(AE45="تأمين فقط",X45="FCS",X45="RCS"),0,IF(OR(AE45="اشتراك 300",X45="POLICE",X45="OPOW",X45="DJS"),300,IF(H45&lt;14,1300,1500))))</f>
        <v/>
      </c>
      <c r="AG45" s="16">
        <f>IF(OR(AE45="لم يدفع",B45=""),"",500)</f>
        <v/>
      </c>
      <c r="AH45" s="16">
        <f>IF(OR(AE45="لم يدفع",AE45="تأمين فقط",AE45="اشتراك 300",X45="OPOW",X45="DJS",X45="FCS",X45="RCS",X45="POLICE",B45=""),"",1000)</f>
        <v/>
      </c>
      <c r="AI45" s="17">
        <f>IF(AE45="لم يدفع","",IF(AF45="","",AF45+AG45))</f>
        <v/>
      </c>
      <c r="AJ45" s="18">
        <f>IF(B45="","",IF(AE45="لم يدفع","🔒 مجمدة",IF(Z45="","",IF(Z45&lt;TODAY(),"⛔ منتهي - يتطلب تجديد",IF(Z45-5&lt;=TODAY(),"⚠️ قريب الانتهاء","✅ ساري")))))</f>
        <v/>
      </c>
      <c r="AK45" s="13" t="n"/>
      <c r="AL45" s="13" t="n"/>
      <c r="AM45" s="13" t="n"/>
      <c r="AN45" s="13" t="n"/>
      <c r="AO45" s="14">
        <f>IF(B45="","",IF(AK45&lt;&gt;"","الأحد والأربعاء",IF(AL45&lt;&gt;"","الاثنين والخميس",IF(AM45&lt;&gt;"","الثلاثاء والجمعة",IF(AN45&lt;&gt;"","كل الأيام","")))))</f>
        <v/>
      </c>
      <c r="AP45" s="13" t="n"/>
      <c r="AQ45" s="13" t="n"/>
      <c r="AR45" s="13" t="n"/>
      <c r="AS45" s="13" t="n"/>
      <c r="AT45" s="14">
        <f>IF(B45="","",IF(AP45&lt;&gt;"","09:00-10:00",IF(AQ45&lt;&gt;"","10:00-11:00",IF(AR45&lt;&gt;"","19:00-20:00",IF(AS45&lt;&gt;"","20:00-21:00","")))))</f>
        <v/>
      </c>
      <c r="AU45" s="19">
        <f>IF(B45="","",COUNTA(التجديد!E45:E45))</f>
        <v/>
      </c>
    </row>
    <row r="46" ht="22" customHeight="1">
      <c r="A46" s="10">
        <f>IF(B46="","","RCS "&amp;TEXT(ROW()-2,"000"))</f>
        <v/>
      </c>
      <c r="B46" s="11" t="n"/>
      <c r="C46" s="11" t="n"/>
      <c r="D46" s="12" t="n"/>
      <c r="E46" s="13" t="n"/>
      <c r="F46" s="13" t="n"/>
      <c r="G46" s="14">
        <f>IF(B46="","",IF(E46&lt;&gt;"","ذكر",IF(F46&lt;&gt;"","أنثى","")))</f>
        <v/>
      </c>
      <c r="H46" s="14">
        <f>IF(D46="","",DATEDIF(D46,TODAY(),"Y"))</f>
        <v/>
      </c>
      <c r="I46" s="13" t="n"/>
      <c r="J46" s="13" t="n"/>
      <c r="K46" s="13" t="n"/>
      <c r="L46" s="13" t="n"/>
      <c r="M46" s="13" t="n"/>
      <c r="N46" s="13" t="n"/>
      <c r="O46" s="13" t="n"/>
      <c r="P46" s="13" t="n"/>
      <c r="Q46" s="14">
        <f>IF(B46="","",IF(I46&lt;&gt;"","A+",IF(J46&lt;&gt;"","A-",IF(K46&lt;&gt;"","B+",IF(L46&lt;&gt;"","B-",IF(M46&lt;&gt;"","O+",IF(N46&lt;&gt;"","O-",IF(O46&lt;&gt;"","AB+",IF(P46&lt;&gt;"","AB-",""))))))))</f>
        <v/>
      </c>
      <c r="R46" s="13" t="n"/>
      <c r="S46" s="13" t="n"/>
      <c r="T46" s="13" t="n"/>
      <c r="U46" s="13" t="n"/>
      <c r="V46" s="13" t="n"/>
      <c r="W46" s="13" t="n"/>
      <c r="X46" s="14">
        <f>IF(B46="","",IF(R46&lt;&gt;"","/",IF(S46&lt;&gt;"","OPOW",IF(T46&lt;&gt;"","DJS",IF(U46&lt;&gt;"","FCS",IF(V46&lt;&gt;"","RCS",IF(W46&lt;&gt;"","POLICE","")))))))</f>
        <v/>
      </c>
      <c r="Y46" s="12" t="n"/>
      <c r="Z46" s="15">
        <f>IF(Y46="","",Y46+30)</f>
        <v/>
      </c>
      <c r="AA46" s="13" t="n"/>
      <c r="AB46" s="13" t="n"/>
      <c r="AC46" s="13" t="n"/>
      <c r="AD46" s="13" t="n"/>
      <c r="AE46" s="14">
        <f>IF(B46="","",IF(AA46&lt;&gt;"","مدفوع",IF(AB46&lt;&gt;"","لم يدفع",IF(AC46&lt;&gt;"","تأمين فقط",IF(AD46&lt;&gt;"","اشتراك 300","")))))</f>
        <v/>
      </c>
      <c r="AF46" s="16">
        <f>IF(OR(AE46="لم يدفع",B46=""),"",IF(OR(AE46="تأمين فقط",X46="FCS",X46="RCS"),0,IF(OR(AE46="اشتراك 300",X46="POLICE",X46="OPOW",X46="DJS"),300,IF(H46&lt;14,1300,1500))))</f>
        <v/>
      </c>
      <c r="AG46" s="16">
        <f>IF(OR(AE46="لم يدفع",B46=""),"",500)</f>
        <v/>
      </c>
      <c r="AH46" s="16">
        <f>IF(OR(AE46="لم يدفع",AE46="تأمين فقط",AE46="اشتراك 300",X46="OPOW",X46="DJS",X46="FCS",X46="RCS",X46="POLICE",B46=""),"",1000)</f>
        <v/>
      </c>
      <c r="AI46" s="17">
        <f>IF(AE46="لم يدفع","",IF(AF46="","",AF46+AG46))</f>
        <v/>
      </c>
      <c r="AJ46" s="18">
        <f>IF(B46="","",IF(AE46="لم يدفع","🔒 مجمدة",IF(Z46="","",IF(Z46&lt;TODAY(),"⛔ منتهي - يتطلب تجديد",IF(Z46-5&lt;=TODAY(),"⚠️ قريب الانتهاء","✅ ساري")))))</f>
        <v/>
      </c>
      <c r="AK46" s="13" t="n"/>
      <c r="AL46" s="13" t="n"/>
      <c r="AM46" s="13" t="n"/>
      <c r="AN46" s="13" t="n"/>
      <c r="AO46" s="14">
        <f>IF(B46="","",IF(AK46&lt;&gt;"","الأحد والأربعاء",IF(AL46&lt;&gt;"","الاثنين والخميس",IF(AM46&lt;&gt;"","الثلاثاء والجمعة",IF(AN46&lt;&gt;"","كل الأيام","")))))</f>
        <v/>
      </c>
      <c r="AP46" s="13" t="n"/>
      <c r="AQ46" s="13" t="n"/>
      <c r="AR46" s="13" t="n"/>
      <c r="AS46" s="13" t="n"/>
      <c r="AT46" s="14">
        <f>IF(B46="","",IF(AP46&lt;&gt;"","09:00-10:00",IF(AQ46&lt;&gt;"","10:00-11:00",IF(AR46&lt;&gt;"","19:00-20:00",IF(AS46&lt;&gt;"","20:00-21:00","")))))</f>
        <v/>
      </c>
      <c r="AU46" s="19">
        <f>IF(B46="","",COUNTA(التجديد!E46:E46))</f>
        <v/>
      </c>
    </row>
    <row r="47" ht="22" customHeight="1">
      <c r="A47" s="10">
        <f>IF(B47="","","RCS "&amp;TEXT(ROW()-2,"000"))</f>
        <v/>
      </c>
      <c r="B47" s="11" t="n"/>
      <c r="C47" s="11" t="n"/>
      <c r="D47" s="12" t="n"/>
      <c r="E47" s="13" t="n"/>
      <c r="F47" s="13" t="n"/>
      <c r="G47" s="14">
        <f>IF(B47="","",IF(E47&lt;&gt;"","ذكر",IF(F47&lt;&gt;"","أنثى","")))</f>
        <v/>
      </c>
      <c r="H47" s="14">
        <f>IF(D47="","",DATEDIF(D47,TODAY(),"Y"))</f>
        <v/>
      </c>
      <c r="I47" s="13" t="n"/>
      <c r="J47" s="13" t="n"/>
      <c r="K47" s="13" t="n"/>
      <c r="L47" s="13" t="n"/>
      <c r="M47" s="13" t="n"/>
      <c r="N47" s="13" t="n"/>
      <c r="O47" s="13" t="n"/>
      <c r="P47" s="13" t="n"/>
      <c r="Q47" s="14">
        <f>IF(B47="","",IF(I47&lt;&gt;"","A+",IF(J47&lt;&gt;"","A-",IF(K47&lt;&gt;"","B+",IF(L47&lt;&gt;"","B-",IF(M47&lt;&gt;"","O+",IF(N47&lt;&gt;"","O-",IF(O47&lt;&gt;"","AB+",IF(P47&lt;&gt;"","AB-",""))))))))</f>
        <v/>
      </c>
      <c r="R47" s="13" t="n"/>
      <c r="S47" s="13" t="n"/>
      <c r="T47" s="13" t="n"/>
      <c r="U47" s="13" t="n"/>
      <c r="V47" s="13" t="n"/>
      <c r="W47" s="13" t="n"/>
      <c r="X47" s="14">
        <f>IF(B47="","",IF(R47&lt;&gt;"","/",IF(S47&lt;&gt;"","OPOW",IF(T47&lt;&gt;"","DJS",IF(U47&lt;&gt;"","FCS",IF(V47&lt;&gt;"","RCS",IF(W47&lt;&gt;"","POLICE","")))))))</f>
        <v/>
      </c>
      <c r="Y47" s="12" t="n"/>
      <c r="Z47" s="15">
        <f>IF(Y47="","",Y47+30)</f>
        <v/>
      </c>
      <c r="AA47" s="13" t="n"/>
      <c r="AB47" s="13" t="n"/>
      <c r="AC47" s="13" t="n"/>
      <c r="AD47" s="13" t="n"/>
      <c r="AE47" s="14">
        <f>IF(B47="","",IF(AA47&lt;&gt;"","مدفوع",IF(AB47&lt;&gt;"","لم يدفع",IF(AC47&lt;&gt;"","تأمين فقط",IF(AD47&lt;&gt;"","اشتراك 300","")))))</f>
        <v/>
      </c>
      <c r="AF47" s="16">
        <f>IF(OR(AE47="لم يدفع",B47=""),"",IF(OR(AE47="تأمين فقط",X47="FCS",X47="RCS"),0,IF(OR(AE47="اشتراك 300",X47="POLICE",X47="OPOW",X47="DJS"),300,IF(H47&lt;14,1300,1500))))</f>
        <v/>
      </c>
      <c r="AG47" s="16">
        <f>IF(OR(AE47="لم يدفع",B47=""),"",500)</f>
        <v/>
      </c>
      <c r="AH47" s="16">
        <f>IF(OR(AE47="لم يدفع",AE47="تأمين فقط",AE47="اشتراك 300",X47="OPOW",X47="DJS",X47="FCS",X47="RCS",X47="POLICE",B47=""),"",1000)</f>
        <v/>
      </c>
      <c r="AI47" s="17">
        <f>IF(AE47="لم يدفع","",IF(AF47="","",AF47+AG47))</f>
        <v/>
      </c>
      <c r="AJ47" s="18">
        <f>IF(B47="","",IF(AE47="لم يدفع","🔒 مجمدة",IF(Z47="","",IF(Z47&lt;TODAY(),"⛔ منتهي - يتطلب تجديد",IF(Z47-5&lt;=TODAY(),"⚠️ قريب الانتهاء","✅ ساري")))))</f>
        <v/>
      </c>
      <c r="AK47" s="13" t="n"/>
      <c r="AL47" s="13" t="n"/>
      <c r="AM47" s="13" t="n"/>
      <c r="AN47" s="13" t="n"/>
      <c r="AO47" s="14">
        <f>IF(B47="","",IF(AK47&lt;&gt;"","الأحد والأربعاء",IF(AL47&lt;&gt;"","الاثنين والخميس",IF(AM47&lt;&gt;"","الثلاثاء والجمعة",IF(AN47&lt;&gt;"","كل الأيام","")))))</f>
        <v/>
      </c>
      <c r="AP47" s="13" t="n"/>
      <c r="AQ47" s="13" t="n"/>
      <c r="AR47" s="13" t="n"/>
      <c r="AS47" s="13" t="n"/>
      <c r="AT47" s="14">
        <f>IF(B47="","",IF(AP47&lt;&gt;"","09:00-10:00",IF(AQ47&lt;&gt;"","10:00-11:00",IF(AR47&lt;&gt;"","19:00-20:00",IF(AS47&lt;&gt;"","20:00-21:00","")))))</f>
        <v/>
      </c>
      <c r="AU47" s="19">
        <f>IF(B47="","",COUNTA(التجديد!E47:E47))</f>
        <v/>
      </c>
    </row>
    <row r="48" ht="22" customHeight="1">
      <c r="A48" s="10">
        <f>IF(B48="","","RCS "&amp;TEXT(ROW()-2,"000"))</f>
        <v/>
      </c>
      <c r="B48" s="11" t="n"/>
      <c r="C48" s="11" t="n"/>
      <c r="D48" s="12" t="n"/>
      <c r="E48" s="13" t="n"/>
      <c r="F48" s="13" t="n"/>
      <c r="G48" s="14">
        <f>IF(B48="","",IF(E48&lt;&gt;"","ذكر",IF(F48&lt;&gt;"","أنثى","")))</f>
        <v/>
      </c>
      <c r="H48" s="14">
        <f>IF(D48="","",DATEDIF(D48,TODAY(),"Y"))</f>
        <v/>
      </c>
      <c r="I48" s="13" t="n"/>
      <c r="J48" s="13" t="n"/>
      <c r="K48" s="13" t="n"/>
      <c r="L48" s="13" t="n"/>
      <c r="M48" s="13" t="n"/>
      <c r="N48" s="13" t="n"/>
      <c r="O48" s="13" t="n"/>
      <c r="P48" s="13" t="n"/>
      <c r="Q48" s="14">
        <f>IF(B48="","",IF(I48&lt;&gt;"","A+",IF(J48&lt;&gt;"","A-",IF(K48&lt;&gt;"","B+",IF(L48&lt;&gt;"","B-",IF(M48&lt;&gt;"","O+",IF(N48&lt;&gt;"","O-",IF(O48&lt;&gt;"","AB+",IF(P48&lt;&gt;"","AB-",""))))))))</f>
        <v/>
      </c>
      <c r="R48" s="13" t="n"/>
      <c r="S48" s="13" t="n"/>
      <c r="T48" s="13" t="n"/>
      <c r="U48" s="13" t="n"/>
      <c r="V48" s="13" t="n"/>
      <c r="W48" s="13" t="n"/>
      <c r="X48" s="14">
        <f>IF(B48="","",IF(R48&lt;&gt;"","/",IF(S48&lt;&gt;"","OPOW",IF(T48&lt;&gt;"","DJS",IF(U48&lt;&gt;"","FCS",IF(V48&lt;&gt;"","RCS",IF(W48&lt;&gt;"","POLICE","")))))))</f>
        <v/>
      </c>
      <c r="Y48" s="12" t="n"/>
      <c r="Z48" s="15">
        <f>IF(Y48="","",Y48+30)</f>
        <v/>
      </c>
      <c r="AA48" s="13" t="n"/>
      <c r="AB48" s="13" t="n"/>
      <c r="AC48" s="13" t="n"/>
      <c r="AD48" s="13" t="n"/>
      <c r="AE48" s="14">
        <f>IF(B48="","",IF(AA48&lt;&gt;"","مدفوع",IF(AB48&lt;&gt;"","لم يدفع",IF(AC48&lt;&gt;"","تأمين فقط",IF(AD48&lt;&gt;"","اشتراك 300","")))))</f>
        <v/>
      </c>
      <c r="AF48" s="16">
        <f>IF(OR(AE48="لم يدفع",B48=""),"",IF(OR(AE48="تأمين فقط",X48="FCS",X48="RCS"),0,IF(OR(AE48="اشتراك 300",X48="POLICE",X48="OPOW",X48="DJS"),300,IF(H48&lt;14,1300,1500))))</f>
        <v/>
      </c>
      <c r="AG48" s="16">
        <f>IF(OR(AE48="لم يدفع",B48=""),"",500)</f>
        <v/>
      </c>
      <c r="AH48" s="16">
        <f>IF(OR(AE48="لم يدفع",AE48="تأمين فقط",AE48="اشتراك 300",X48="OPOW",X48="DJS",X48="FCS",X48="RCS",X48="POLICE",B48=""),"",1000)</f>
        <v/>
      </c>
      <c r="AI48" s="17">
        <f>IF(AE48="لم يدفع","",IF(AF48="","",AF48+AG48))</f>
        <v/>
      </c>
      <c r="AJ48" s="18">
        <f>IF(B48="","",IF(AE48="لم يدفع","🔒 مجمدة",IF(Z48="","",IF(Z48&lt;TODAY(),"⛔ منتهي - يتطلب تجديد",IF(Z48-5&lt;=TODAY(),"⚠️ قريب الانتهاء","✅ ساري")))))</f>
        <v/>
      </c>
      <c r="AK48" s="13" t="n"/>
      <c r="AL48" s="13" t="n"/>
      <c r="AM48" s="13" t="n"/>
      <c r="AN48" s="13" t="n"/>
      <c r="AO48" s="14">
        <f>IF(B48="","",IF(AK48&lt;&gt;"","الأحد والأربعاء",IF(AL48&lt;&gt;"","الاثنين والخميس",IF(AM48&lt;&gt;"","الثلاثاء والجمعة",IF(AN48&lt;&gt;"","كل الأيام","")))))</f>
        <v/>
      </c>
      <c r="AP48" s="13" t="n"/>
      <c r="AQ48" s="13" t="n"/>
      <c r="AR48" s="13" t="n"/>
      <c r="AS48" s="13" t="n"/>
      <c r="AT48" s="14">
        <f>IF(B48="","",IF(AP48&lt;&gt;"","09:00-10:00",IF(AQ48&lt;&gt;"","10:00-11:00",IF(AR48&lt;&gt;"","19:00-20:00",IF(AS48&lt;&gt;"","20:00-21:00","")))))</f>
        <v/>
      </c>
      <c r="AU48" s="19">
        <f>IF(B48="","",COUNTA(التجديد!E48:E48))</f>
        <v/>
      </c>
    </row>
    <row r="49" ht="22" customHeight="1">
      <c r="A49" s="10">
        <f>IF(B49="","","RCS "&amp;TEXT(ROW()-2,"000"))</f>
        <v/>
      </c>
      <c r="B49" s="11" t="n"/>
      <c r="C49" s="11" t="n"/>
      <c r="D49" s="12" t="n"/>
      <c r="E49" s="13" t="n"/>
      <c r="F49" s="13" t="n"/>
      <c r="G49" s="14">
        <f>IF(B49="","",IF(E49&lt;&gt;"","ذكر",IF(F49&lt;&gt;"","أنثى","")))</f>
        <v/>
      </c>
      <c r="H49" s="14">
        <f>IF(D49="","",DATEDIF(D49,TODAY(),"Y"))</f>
        <v/>
      </c>
      <c r="I49" s="13" t="n"/>
      <c r="J49" s="13" t="n"/>
      <c r="K49" s="13" t="n"/>
      <c r="L49" s="13" t="n"/>
      <c r="M49" s="13" t="n"/>
      <c r="N49" s="13" t="n"/>
      <c r="O49" s="13" t="n"/>
      <c r="P49" s="13" t="n"/>
      <c r="Q49" s="14">
        <f>IF(B49="","",IF(I49&lt;&gt;"","A+",IF(J49&lt;&gt;"","A-",IF(K49&lt;&gt;"","B+",IF(L49&lt;&gt;"","B-",IF(M49&lt;&gt;"","O+",IF(N49&lt;&gt;"","O-",IF(O49&lt;&gt;"","AB+",IF(P49&lt;&gt;"","AB-",""))))))))</f>
        <v/>
      </c>
      <c r="R49" s="13" t="n"/>
      <c r="S49" s="13" t="n"/>
      <c r="T49" s="13" t="n"/>
      <c r="U49" s="13" t="n"/>
      <c r="V49" s="13" t="n"/>
      <c r="W49" s="13" t="n"/>
      <c r="X49" s="14">
        <f>IF(B49="","",IF(R49&lt;&gt;"","/",IF(S49&lt;&gt;"","OPOW",IF(T49&lt;&gt;"","DJS",IF(U49&lt;&gt;"","FCS",IF(V49&lt;&gt;"","RCS",IF(W49&lt;&gt;"","POLICE","")))))))</f>
        <v/>
      </c>
      <c r="Y49" s="12" t="n"/>
      <c r="Z49" s="15">
        <f>IF(Y49="","",Y49+30)</f>
        <v/>
      </c>
      <c r="AA49" s="13" t="n"/>
      <c r="AB49" s="13" t="n"/>
      <c r="AC49" s="13" t="n"/>
      <c r="AD49" s="13" t="n"/>
      <c r="AE49" s="14">
        <f>IF(B49="","",IF(AA49&lt;&gt;"","مدفوع",IF(AB49&lt;&gt;"","لم يدفع",IF(AC49&lt;&gt;"","تأمين فقط",IF(AD49&lt;&gt;"","اشتراك 300","")))))</f>
        <v/>
      </c>
      <c r="AF49" s="16">
        <f>IF(OR(AE49="لم يدفع",B49=""),"",IF(OR(AE49="تأمين فقط",X49="FCS",X49="RCS"),0,IF(OR(AE49="اشتراك 300",X49="POLICE",X49="OPOW",X49="DJS"),300,IF(H49&lt;14,1300,1500))))</f>
        <v/>
      </c>
      <c r="AG49" s="16">
        <f>IF(OR(AE49="لم يدفع",B49=""),"",500)</f>
        <v/>
      </c>
      <c r="AH49" s="16">
        <f>IF(OR(AE49="لم يدفع",AE49="تأمين فقط",AE49="اشتراك 300",X49="OPOW",X49="DJS",X49="FCS",X49="RCS",X49="POLICE",B49=""),"",1000)</f>
        <v/>
      </c>
      <c r="AI49" s="17">
        <f>IF(AE49="لم يدفع","",IF(AF49="","",AF49+AG49))</f>
        <v/>
      </c>
      <c r="AJ49" s="18">
        <f>IF(B49="","",IF(AE49="لم يدفع","🔒 مجمدة",IF(Z49="","",IF(Z49&lt;TODAY(),"⛔ منتهي - يتطلب تجديد",IF(Z49-5&lt;=TODAY(),"⚠️ قريب الانتهاء","✅ ساري")))))</f>
        <v/>
      </c>
      <c r="AK49" s="13" t="n"/>
      <c r="AL49" s="13" t="n"/>
      <c r="AM49" s="13" t="n"/>
      <c r="AN49" s="13" t="n"/>
      <c r="AO49" s="14">
        <f>IF(B49="","",IF(AK49&lt;&gt;"","الأحد والأربعاء",IF(AL49&lt;&gt;"","الاثنين والخميس",IF(AM49&lt;&gt;"","الثلاثاء والجمعة",IF(AN49&lt;&gt;"","كل الأيام","")))))</f>
        <v/>
      </c>
      <c r="AP49" s="13" t="n"/>
      <c r="AQ49" s="13" t="n"/>
      <c r="AR49" s="13" t="n"/>
      <c r="AS49" s="13" t="n"/>
      <c r="AT49" s="14">
        <f>IF(B49="","",IF(AP49&lt;&gt;"","09:00-10:00",IF(AQ49&lt;&gt;"","10:00-11:00",IF(AR49&lt;&gt;"","19:00-20:00",IF(AS49&lt;&gt;"","20:00-21:00","")))))</f>
        <v/>
      </c>
      <c r="AU49" s="19">
        <f>IF(B49="","",COUNTA(التجديد!E49:E49))</f>
        <v/>
      </c>
    </row>
    <row r="50" ht="22" customHeight="1">
      <c r="A50" s="10">
        <f>IF(B50="","","RCS "&amp;TEXT(ROW()-2,"000"))</f>
        <v/>
      </c>
      <c r="B50" s="11" t="n"/>
      <c r="C50" s="11" t="n"/>
      <c r="D50" s="12" t="n"/>
      <c r="E50" s="13" t="n"/>
      <c r="F50" s="13" t="n"/>
      <c r="G50" s="14">
        <f>IF(B50="","",IF(E50&lt;&gt;"","ذكر",IF(F50&lt;&gt;"","أنثى","")))</f>
        <v/>
      </c>
      <c r="H50" s="14">
        <f>IF(D50="","",DATEDIF(D50,TODAY(),"Y"))</f>
        <v/>
      </c>
      <c r="I50" s="13" t="n"/>
      <c r="J50" s="13" t="n"/>
      <c r="K50" s="13" t="n"/>
      <c r="L50" s="13" t="n"/>
      <c r="M50" s="13" t="n"/>
      <c r="N50" s="13" t="n"/>
      <c r="O50" s="13" t="n"/>
      <c r="P50" s="13" t="n"/>
      <c r="Q50" s="14">
        <f>IF(B50="","",IF(I50&lt;&gt;"","A+",IF(J50&lt;&gt;"","A-",IF(K50&lt;&gt;"","B+",IF(L50&lt;&gt;"","B-",IF(M50&lt;&gt;"","O+",IF(N50&lt;&gt;"","O-",IF(O50&lt;&gt;"","AB+",IF(P50&lt;&gt;"","AB-",""))))))))</f>
        <v/>
      </c>
      <c r="R50" s="13" t="n"/>
      <c r="S50" s="13" t="n"/>
      <c r="T50" s="13" t="n"/>
      <c r="U50" s="13" t="n"/>
      <c r="V50" s="13" t="n"/>
      <c r="W50" s="13" t="n"/>
      <c r="X50" s="14">
        <f>IF(B50="","",IF(R50&lt;&gt;"","/",IF(S50&lt;&gt;"","OPOW",IF(T50&lt;&gt;"","DJS",IF(U50&lt;&gt;"","FCS",IF(V50&lt;&gt;"","RCS",IF(W50&lt;&gt;"","POLICE","")))))))</f>
        <v/>
      </c>
      <c r="Y50" s="12" t="n"/>
      <c r="Z50" s="15">
        <f>IF(Y50="","",Y50+30)</f>
        <v/>
      </c>
      <c r="AA50" s="13" t="n"/>
      <c r="AB50" s="13" t="n"/>
      <c r="AC50" s="13" t="n"/>
      <c r="AD50" s="13" t="n"/>
      <c r="AE50" s="14">
        <f>IF(B50="","",IF(AA50&lt;&gt;"","مدفوع",IF(AB50&lt;&gt;"","لم يدفع",IF(AC50&lt;&gt;"","تأمين فقط",IF(AD50&lt;&gt;"","اشتراك 300","")))))</f>
        <v/>
      </c>
      <c r="AF50" s="16">
        <f>IF(OR(AE50="لم يدفع",B50=""),"",IF(OR(AE50="تأمين فقط",X50="FCS",X50="RCS"),0,IF(OR(AE50="اشتراك 300",X50="POLICE",X50="OPOW",X50="DJS"),300,IF(H50&lt;14,1300,1500))))</f>
        <v/>
      </c>
      <c r="AG50" s="16">
        <f>IF(OR(AE50="لم يدفع",B50=""),"",500)</f>
        <v/>
      </c>
      <c r="AH50" s="16">
        <f>IF(OR(AE50="لم يدفع",AE50="تأمين فقط",AE50="اشتراك 300",X50="OPOW",X50="DJS",X50="FCS",X50="RCS",X50="POLICE",B50=""),"",1000)</f>
        <v/>
      </c>
      <c r="AI50" s="17">
        <f>IF(AE50="لم يدفع","",IF(AF50="","",AF50+AG50))</f>
        <v/>
      </c>
      <c r="AJ50" s="18">
        <f>IF(B50="","",IF(AE50="لم يدفع","🔒 مجمدة",IF(Z50="","",IF(Z50&lt;TODAY(),"⛔ منتهي - يتطلب تجديد",IF(Z50-5&lt;=TODAY(),"⚠️ قريب الانتهاء","✅ ساري")))))</f>
        <v/>
      </c>
      <c r="AK50" s="13" t="n"/>
      <c r="AL50" s="13" t="n"/>
      <c r="AM50" s="13" t="n"/>
      <c r="AN50" s="13" t="n"/>
      <c r="AO50" s="14">
        <f>IF(B50="","",IF(AK50&lt;&gt;"","الأحد والأربعاء",IF(AL50&lt;&gt;"","الاثنين والخميس",IF(AM50&lt;&gt;"","الثلاثاء والجمعة",IF(AN50&lt;&gt;"","كل الأيام","")))))</f>
        <v/>
      </c>
      <c r="AP50" s="13" t="n"/>
      <c r="AQ50" s="13" t="n"/>
      <c r="AR50" s="13" t="n"/>
      <c r="AS50" s="13" t="n"/>
      <c r="AT50" s="14">
        <f>IF(B50="","",IF(AP50&lt;&gt;"","09:00-10:00",IF(AQ50&lt;&gt;"","10:00-11:00",IF(AR50&lt;&gt;"","19:00-20:00",IF(AS50&lt;&gt;"","20:00-21:00","")))))</f>
        <v/>
      </c>
      <c r="AU50" s="19">
        <f>IF(B50="","",COUNTA(التجديد!E50:E50))</f>
        <v/>
      </c>
    </row>
    <row r="51" ht="22" customHeight="1">
      <c r="A51" s="10">
        <f>IF(B51="","","RCS "&amp;TEXT(ROW()-2,"000"))</f>
        <v/>
      </c>
      <c r="B51" s="11" t="n"/>
      <c r="C51" s="11" t="n"/>
      <c r="D51" s="12" t="n"/>
      <c r="E51" s="13" t="n"/>
      <c r="F51" s="13" t="n"/>
      <c r="G51" s="14">
        <f>IF(B51="","",IF(E51&lt;&gt;"","ذكر",IF(F51&lt;&gt;"","أنثى","")))</f>
        <v/>
      </c>
      <c r="H51" s="14">
        <f>IF(D51="","",DATEDIF(D51,TODAY(),"Y"))</f>
        <v/>
      </c>
      <c r="I51" s="13" t="n"/>
      <c r="J51" s="13" t="n"/>
      <c r="K51" s="13" t="n"/>
      <c r="L51" s="13" t="n"/>
      <c r="M51" s="13" t="n"/>
      <c r="N51" s="13" t="n"/>
      <c r="O51" s="13" t="n"/>
      <c r="P51" s="13" t="n"/>
      <c r="Q51" s="14">
        <f>IF(B51="","",IF(I51&lt;&gt;"","A+",IF(J51&lt;&gt;"","A-",IF(K51&lt;&gt;"","B+",IF(L51&lt;&gt;"","B-",IF(M51&lt;&gt;"","O+",IF(N51&lt;&gt;"","O-",IF(O51&lt;&gt;"","AB+",IF(P51&lt;&gt;"","AB-",""))))))))</f>
        <v/>
      </c>
      <c r="R51" s="13" t="n"/>
      <c r="S51" s="13" t="n"/>
      <c r="T51" s="13" t="n"/>
      <c r="U51" s="13" t="n"/>
      <c r="V51" s="13" t="n"/>
      <c r="W51" s="13" t="n"/>
      <c r="X51" s="14">
        <f>IF(B51="","",IF(R51&lt;&gt;"","/",IF(S51&lt;&gt;"","OPOW",IF(T51&lt;&gt;"","DJS",IF(U51&lt;&gt;"","FCS",IF(V51&lt;&gt;"","RCS",IF(W51&lt;&gt;"","POLICE","")))))))</f>
        <v/>
      </c>
      <c r="Y51" s="12" t="n"/>
      <c r="Z51" s="15">
        <f>IF(Y51="","",Y51+30)</f>
        <v/>
      </c>
      <c r="AA51" s="13" t="n"/>
      <c r="AB51" s="13" t="n"/>
      <c r="AC51" s="13" t="n"/>
      <c r="AD51" s="13" t="n"/>
      <c r="AE51" s="14">
        <f>IF(B51="","",IF(AA51&lt;&gt;"","مدفوع",IF(AB51&lt;&gt;"","لم يدفع",IF(AC51&lt;&gt;"","تأمين فقط",IF(AD51&lt;&gt;"","اشتراك 300","")))))</f>
        <v/>
      </c>
      <c r="AF51" s="16">
        <f>IF(OR(AE51="لم يدفع",B51=""),"",IF(OR(AE51="تأمين فقط",X51="FCS",X51="RCS"),0,IF(OR(AE51="اشتراك 300",X51="POLICE",X51="OPOW",X51="DJS"),300,IF(H51&lt;14,1300,1500))))</f>
        <v/>
      </c>
      <c r="AG51" s="16">
        <f>IF(OR(AE51="لم يدفع",B51=""),"",500)</f>
        <v/>
      </c>
      <c r="AH51" s="16">
        <f>IF(OR(AE51="لم يدفع",AE51="تأمين فقط",AE51="اشتراك 300",X51="OPOW",X51="DJS",X51="FCS",X51="RCS",X51="POLICE",B51=""),"",1000)</f>
        <v/>
      </c>
      <c r="AI51" s="17">
        <f>IF(AE51="لم يدفع","",IF(AF51="","",AF51+AG51))</f>
        <v/>
      </c>
      <c r="AJ51" s="18">
        <f>IF(B51="","",IF(AE51="لم يدفع","🔒 مجمدة",IF(Z51="","",IF(Z51&lt;TODAY(),"⛔ منتهي - يتطلب تجديد",IF(Z51-5&lt;=TODAY(),"⚠️ قريب الانتهاء","✅ ساري")))))</f>
        <v/>
      </c>
      <c r="AK51" s="13" t="n"/>
      <c r="AL51" s="13" t="n"/>
      <c r="AM51" s="13" t="n"/>
      <c r="AN51" s="13" t="n"/>
      <c r="AO51" s="14">
        <f>IF(B51="","",IF(AK51&lt;&gt;"","الأحد والأربعاء",IF(AL51&lt;&gt;"","الاثنين والخميس",IF(AM51&lt;&gt;"","الثلاثاء والجمعة",IF(AN51&lt;&gt;"","كل الأيام","")))))</f>
        <v/>
      </c>
      <c r="AP51" s="13" t="n"/>
      <c r="AQ51" s="13" t="n"/>
      <c r="AR51" s="13" t="n"/>
      <c r="AS51" s="13" t="n"/>
      <c r="AT51" s="14">
        <f>IF(B51="","",IF(AP51&lt;&gt;"","09:00-10:00",IF(AQ51&lt;&gt;"","10:00-11:00",IF(AR51&lt;&gt;"","19:00-20:00",IF(AS51&lt;&gt;"","20:00-21:00","")))))</f>
        <v/>
      </c>
      <c r="AU51" s="19">
        <f>IF(B51="","",COUNTA(التجديد!E51:E51))</f>
        <v/>
      </c>
    </row>
    <row r="52" ht="22" customHeight="1">
      <c r="A52" s="10">
        <f>IF(B52="","","RCS "&amp;TEXT(ROW()-2,"000"))</f>
        <v/>
      </c>
      <c r="B52" s="11" t="n"/>
      <c r="C52" s="11" t="n"/>
      <c r="D52" s="12" t="n"/>
      <c r="E52" s="13" t="n"/>
      <c r="F52" s="13" t="n"/>
      <c r="G52" s="14">
        <f>IF(B52="","",IF(E52&lt;&gt;"","ذكر",IF(F52&lt;&gt;"","أنثى","")))</f>
        <v/>
      </c>
      <c r="H52" s="14">
        <f>IF(D52="","",DATEDIF(D52,TODAY(),"Y"))</f>
        <v/>
      </c>
      <c r="I52" s="13" t="n"/>
      <c r="J52" s="13" t="n"/>
      <c r="K52" s="13" t="n"/>
      <c r="L52" s="13" t="n"/>
      <c r="M52" s="13" t="n"/>
      <c r="N52" s="13" t="n"/>
      <c r="O52" s="13" t="n"/>
      <c r="P52" s="13" t="n"/>
      <c r="Q52" s="14">
        <f>IF(B52="","",IF(I52&lt;&gt;"","A+",IF(J52&lt;&gt;"","A-",IF(K52&lt;&gt;"","B+",IF(L52&lt;&gt;"","B-",IF(M52&lt;&gt;"","O+",IF(N52&lt;&gt;"","O-",IF(O52&lt;&gt;"","AB+",IF(P52&lt;&gt;"","AB-",""))))))))</f>
        <v/>
      </c>
      <c r="R52" s="13" t="n"/>
      <c r="S52" s="13" t="n"/>
      <c r="T52" s="13" t="n"/>
      <c r="U52" s="13" t="n"/>
      <c r="V52" s="13" t="n"/>
      <c r="W52" s="13" t="n"/>
      <c r="X52" s="14">
        <f>IF(B52="","",IF(R52&lt;&gt;"","/",IF(S52&lt;&gt;"","OPOW",IF(T52&lt;&gt;"","DJS",IF(U52&lt;&gt;"","FCS",IF(V52&lt;&gt;"","RCS",IF(W52&lt;&gt;"","POLICE","")))))))</f>
        <v/>
      </c>
      <c r="Y52" s="12" t="n"/>
      <c r="Z52" s="15">
        <f>IF(Y52="","",Y52+30)</f>
        <v/>
      </c>
      <c r="AA52" s="13" t="n"/>
      <c r="AB52" s="13" t="n"/>
      <c r="AC52" s="13" t="n"/>
      <c r="AD52" s="13" t="n"/>
      <c r="AE52" s="14">
        <f>IF(B52="","",IF(AA52&lt;&gt;"","مدفوع",IF(AB52&lt;&gt;"","لم يدفع",IF(AC52&lt;&gt;"","تأمين فقط",IF(AD52&lt;&gt;"","اشتراك 300","")))))</f>
        <v/>
      </c>
      <c r="AF52" s="16">
        <f>IF(OR(AE52="لم يدفع",B52=""),"",IF(OR(AE52="تأمين فقط",X52="FCS",X52="RCS"),0,IF(OR(AE52="اشتراك 300",X52="POLICE",X52="OPOW",X52="DJS"),300,IF(H52&lt;14,1300,1500))))</f>
        <v/>
      </c>
      <c r="AG52" s="16">
        <f>IF(OR(AE52="لم يدفع",B52=""),"",500)</f>
        <v/>
      </c>
      <c r="AH52" s="16">
        <f>IF(OR(AE52="لم يدفع",AE52="تأمين فقط",AE52="اشتراك 300",X52="OPOW",X52="DJS",X52="FCS",X52="RCS",X52="POLICE",B52=""),"",1000)</f>
        <v/>
      </c>
      <c r="AI52" s="17">
        <f>IF(AE52="لم يدفع","",IF(AF52="","",AF52+AG52))</f>
        <v/>
      </c>
      <c r="AJ52" s="18">
        <f>IF(B52="","",IF(AE52="لم يدفع","🔒 مجمدة",IF(Z52="","",IF(Z52&lt;TODAY(),"⛔ منتهي - يتطلب تجديد",IF(Z52-5&lt;=TODAY(),"⚠️ قريب الانتهاء","✅ ساري")))))</f>
        <v/>
      </c>
      <c r="AK52" s="13" t="n"/>
      <c r="AL52" s="13" t="n"/>
      <c r="AM52" s="13" t="n"/>
      <c r="AN52" s="13" t="n"/>
      <c r="AO52" s="14">
        <f>IF(B52="","",IF(AK52&lt;&gt;"","الأحد والأربعاء",IF(AL52&lt;&gt;"","الاثنين والخميس",IF(AM52&lt;&gt;"","الثلاثاء والجمعة",IF(AN52&lt;&gt;"","كل الأيام","")))))</f>
        <v/>
      </c>
      <c r="AP52" s="13" t="n"/>
      <c r="AQ52" s="13" t="n"/>
      <c r="AR52" s="13" t="n"/>
      <c r="AS52" s="13" t="n"/>
      <c r="AT52" s="14">
        <f>IF(B52="","",IF(AP52&lt;&gt;"","09:00-10:00",IF(AQ52&lt;&gt;"","10:00-11:00",IF(AR52&lt;&gt;"","19:00-20:00",IF(AS52&lt;&gt;"","20:00-21:00","")))))</f>
        <v/>
      </c>
      <c r="AU52" s="19">
        <f>IF(B52="","",COUNTA(التجديد!E52:E52))</f>
        <v/>
      </c>
    </row>
    <row r="53" ht="22" customHeight="1">
      <c r="A53" s="10">
        <f>IF(B53="","","RCS "&amp;TEXT(ROW()-2,"000"))</f>
        <v/>
      </c>
      <c r="B53" s="11" t="n"/>
      <c r="C53" s="11" t="n"/>
      <c r="D53" s="12" t="n"/>
      <c r="E53" s="13" t="n"/>
      <c r="F53" s="13" t="n"/>
      <c r="G53" s="14">
        <f>IF(B53="","",IF(E53&lt;&gt;"","ذكر",IF(F53&lt;&gt;"","أنثى","")))</f>
        <v/>
      </c>
      <c r="H53" s="14">
        <f>IF(D53="","",DATEDIF(D53,TODAY(),"Y"))</f>
        <v/>
      </c>
      <c r="I53" s="13" t="n"/>
      <c r="J53" s="13" t="n"/>
      <c r="K53" s="13" t="n"/>
      <c r="L53" s="13" t="n"/>
      <c r="M53" s="13" t="n"/>
      <c r="N53" s="13" t="n"/>
      <c r="O53" s="13" t="n"/>
      <c r="P53" s="13" t="n"/>
      <c r="Q53" s="14">
        <f>IF(B53="","",IF(I53&lt;&gt;"","A+",IF(J53&lt;&gt;"","A-",IF(K53&lt;&gt;"","B+",IF(L53&lt;&gt;"","B-",IF(M53&lt;&gt;"","O+",IF(N53&lt;&gt;"","O-",IF(O53&lt;&gt;"","AB+",IF(P53&lt;&gt;"","AB-",""))))))))</f>
        <v/>
      </c>
      <c r="R53" s="13" t="n"/>
      <c r="S53" s="13" t="n"/>
      <c r="T53" s="13" t="n"/>
      <c r="U53" s="13" t="n"/>
      <c r="V53" s="13" t="n"/>
      <c r="W53" s="13" t="n"/>
      <c r="X53" s="14">
        <f>IF(B53="","",IF(R53&lt;&gt;"","/",IF(S53&lt;&gt;"","OPOW",IF(T53&lt;&gt;"","DJS",IF(U53&lt;&gt;"","FCS",IF(V53&lt;&gt;"","RCS",IF(W53&lt;&gt;"","POLICE","")))))))</f>
        <v/>
      </c>
      <c r="Y53" s="12" t="n"/>
      <c r="Z53" s="15">
        <f>IF(Y53="","",Y53+30)</f>
        <v/>
      </c>
      <c r="AA53" s="13" t="n"/>
      <c r="AB53" s="13" t="n"/>
      <c r="AC53" s="13" t="n"/>
      <c r="AD53" s="13" t="n"/>
      <c r="AE53" s="14">
        <f>IF(B53="","",IF(AA53&lt;&gt;"","مدفوع",IF(AB53&lt;&gt;"","لم يدفع",IF(AC53&lt;&gt;"","تأمين فقط",IF(AD53&lt;&gt;"","اشتراك 300","")))))</f>
        <v/>
      </c>
      <c r="AF53" s="16">
        <f>IF(OR(AE53="لم يدفع",B53=""),"",IF(OR(AE53="تأمين فقط",X53="FCS",X53="RCS"),0,IF(OR(AE53="اشتراك 300",X53="POLICE",X53="OPOW",X53="DJS"),300,IF(H53&lt;14,1300,1500))))</f>
        <v/>
      </c>
      <c r="AG53" s="16">
        <f>IF(OR(AE53="لم يدفع",B53=""),"",500)</f>
        <v/>
      </c>
      <c r="AH53" s="16">
        <f>IF(OR(AE53="لم يدفع",AE53="تأمين فقط",AE53="اشتراك 300",X53="OPOW",X53="DJS",X53="FCS",X53="RCS",X53="POLICE",B53=""),"",1000)</f>
        <v/>
      </c>
      <c r="AI53" s="17">
        <f>IF(AE53="لم يدفع","",IF(AF53="","",AF53+AG53))</f>
        <v/>
      </c>
      <c r="AJ53" s="18">
        <f>IF(B53="","",IF(AE53="لم يدفع","🔒 مجمدة",IF(Z53="","",IF(Z53&lt;TODAY(),"⛔ منتهي - يتطلب تجديد",IF(Z53-5&lt;=TODAY(),"⚠️ قريب الانتهاء","✅ ساري")))))</f>
        <v/>
      </c>
      <c r="AK53" s="13" t="n"/>
      <c r="AL53" s="13" t="n"/>
      <c r="AM53" s="13" t="n"/>
      <c r="AN53" s="13" t="n"/>
      <c r="AO53" s="14">
        <f>IF(B53="","",IF(AK53&lt;&gt;"","الأحد والأربعاء",IF(AL53&lt;&gt;"","الاثنين والخميس",IF(AM53&lt;&gt;"","الثلاثاء والجمعة",IF(AN53&lt;&gt;"","كل الأيام","")))))</f>
        <v/>
      </c>
      <c r="AP53" s="13" t="n"/>
      <c r="AQ53" s="13" t="n"/>
      <c r="AR53" s="13" t="n"/>
      <c r="AS53" s="13" t="n"/>
      <c r="AT53" s="14">
        <f>IF(B53="","",IF(AP53&lt;&gt;"","09:00-10:00",IF(AQ53&lt;&gt;"","10:00-11:00",IF(AR53&lt;&gt;"","19:00-20:00",IF(AS53&lt;&gt;"","20:00-21:00","")))))</f>
        <v/>
      </c>
      <c r="AU53" s="19">
        <f>IF(B53="","",COUNTA(التجديد!E53:E53))</f>
        <v/>
      </c>
    </row>
    <row r="54" ht="22" customHeight="1">
      <c r="A54" s="10">
        <f>IF(B54="","","RCS "&amp;TEXT(ROW()-2,"000"))</f>
        <v/>
      </c>
      <c r="B54" s="11" t="n"/>
      <c r="C54" s="11" t="n"/>
      <c r="D54" s="12" t="n"/>
      <c r="E54" s="13" t="n"/>
      <c r="F54" s="13" t="n"/>
      <c r="G54" s="14">
        <f>IF(B54="","",IF(E54&lt;&gt;"","ذكر",IF(F54&lt;&gt;"","أنثى","")))</f>
        <v/>
      </c>
      <c r="H54" s="14">
        <f>IF(D54="","",DATEDIF(D54,TODAY(),"Y"))</f>
        <v/>
      </c>
      <c r="I54" s="13" t="n"/>
      <c r="J54" s="13" t="n"/>
      <c r="K54" s="13" t="n"/>
      <c r="L54" s="13" t="n"/>
      <c r="M54" s="13" t="n"/>
      <c r="N54" s="13" t="n"/>
      <c r="O54" s="13" t="n"/>
      <c r="P54" s="13" t="n"/>
      <c r="Q54" s="14">
        <f>IF(B54="","",IF(I54&lt;&gt;"","A+",IF(J54&lt;&gt;"","A-",IF(K54&lt;&gt;"","B+",IF(L54&lt;&gt;"","B-",IF(M54&lt;&gt;"","O+",IF(N54&lt;&gt;"","O-",IF(O54&lt;&gt;"","AB+",IF(P54&lt;&gt;"","AB-",""))))))))</f>
        <v/>
      </c>
      <c r="R54" s="13" t="n"/>
      <c r="S54" s="13" t="n"/>
      <c r="T54" s="13" t="n"/>
      <c r="U54" s="13" t="n"/>
      <c r="V54" s="13" t="n"/>
      <c r="W54" s="13" t="n"/>
      <c r="X54" s="14">
        <f>IF(B54="","",IF(R54&lt;&gt;"","/",IF(S54&lt;&gt;"","OPOW",IF(T54&lt;&gt;"","DJS",IF(U54&lt;&gt;"","FCS",IF(V54&lt;&gt;"","RCS",IF(W54&lt;&gt;"","POLICE","")))))))</f>
        <v/>
      </c>
      <c r="Y54" s="12" t="n"/>
      <c r="Z54" s="15">
        <f>IF(Y54="","",Y54+30)</f>
        <v/>
      </c>
      <c r="AA54" s="13" t="n"/>
      <c r="AB54" s="13" t="n"/>
      <c r="AC54" s="13" t="n"/>
      <c r="AD54" s="13" t="n"/>
      <c r="AE54" s="14">
        <f>IF(B54="","",IF(AA54&lt;&gt;"","مدفوع",IF(AB54&lt;&gt;"","لم يدفع",IF(AC54&lt;&gt;"","تأمين فقط",IF(AD54&lt;&gt;"","اشتراك 300","")))))</f>
        <v/>
      </c>
      <c r="AF54" s="16">
        <f>IF(OR(AE54="لم يدفع",B54=""),"",IF(OR(AE54="تأمين فقط",X54="FCS",X54="RCS"),0,IF(OR(AE54="اشتراك 300",X54="POLICE",X54="OPOW",X54="DJS"),300,IF(H54&lt;14,1300,1500))))</f>
        <v/>
      </c>
      <c r="AG54" s="16">
        <f>IF(OR(AE54="لم يدفع",B54=""),"",500)</f>
        <v/>
      </c>
      <c r="AH54" s="16">
        <f>IF(OR(AE54="لم يدفع",AE54="تأمين فقط",AE54="اشتراك 300",X54="OPOW",X54="DJS",X54="FCS",X54="RCS",X54="POLICE",B54=""),"",1000)</f>
        <v/>
      </c>
      <c r="AI54" s="17">
        <f>IF(AE54="لم يدفع","",IF(AF54="","",AF54+AG54))</f>
        <v/>
      </c>
      <c r="AJ54" s="18">
        <f>IF(B54="","",IF(AE54="لم يدفع","🔒 مجمدة",IF(Z54="","",IF(Z54&lt;TODAY(),"⛔ منتهي - يتطلب تجديد",IF(Z54-5&lt;=TODAY(),"⚠️ قريب الانتهاء","✅ ساري")))))</f>
        <v/>
      </c>
      <c r="AK54" s="13" t="n"/>
      <c r="AL54" s="13" t="n"/>
      <c r="AM54" s="13" t="n"/>
      <c r="AN54" s="13" t="n"/>
      <c r="AO54" s="14">
        <f>IF(B54="","",IF(AK54&lt;&gt;"","الأحد والأربعاء",IF(AL54&lt;&gt;"","الاثنين والخميس",IF(AM54&lt;&gt;"","الثلاثاء والجمعة",IF(AN54&lt;&gt;"","كل الأيام","")))))</f>
        <v/>
      </c>
      <c r="AP54" s="13" t="n"/>
      <c r="AQ54" s="13" t="n"/>
      <c r="AR54" s="13" t="n"/>
      <c r="AS54" s="13" t="n"/>
      <c r="AT54" s="14">
        <f>IF(B54="","",IF(AP54&lt;&gt;"","09:00-10:00",IF(AQ54&lt;&gt;"","10:00-11:00",IF(AR54&lt;&gt;"","19:00-20:00",IF(AS54&lt;&gt;"","20:00-21:00","")))))</f>
        <v/>
      </c>
      <c r="AU54" s="19">
        <f>IF(B54="","",COUNTA(التجديد!E54:E54))</f>
        <v/>
      </c>
    </row>
    <row r="55" ht="22" customHeight="1">
      <c r="A55" s="10">
        <f>IF(B55="","","RCS "&amp;TEXT(ROW()-2,"000"))</f>
        <v/>
      </c>
      <c r="B55" s="11" t="n"/>
      <c r="C55" s="11" t="n"/>
      <c r="D55" s="12" t="n"/>
      <c r="E55" s="13" t="n"/>
      <c r="F55" s="13" t="n"/>
      <c r="G55" s="14">
        <f>IF(B55="","",IF(E55&lt;&gt;"","ذكر",IF(F55&lt;&gt;"","أنثى","")))</f>
        <v/>
      </c>
      <c r="H55" s="14">
        <f>IF(D55="","",DATEDIF(D55,TODAY(),"Y"))</f>
        <v/>
      </c>
      <c r="I55" s="13" t="n"/>
      <c r="J55" s="13" t="n"/>
      <c r="K55" s="13" t="n"/>
      <c r="L55" s="13" t="n"/>
      <c r="M55" s="13" t="n"/>
      <c r="N55" s="13" t="n"/>
      <c r="O55" s="13" t="n"/>
      <c r="P55" s="13" t="n"/>
      <c r="Q55" s="14">
        <f>IF(B55="","",IF(I55&lt;&gt;"","A+",IF(J55&lt;&gt;"","A-",IF(K55&lt;&gt;"","B+",IF(L55&lt;&gt;"","B-",IF(M55&lt;&gt;"","O+",IF(N55&lt;&gt;"","O-",IF(O55&lt;&gt;"","AB+",IF(P55&lt;&gt;"","AB-",""))))))))</f>
        <v/>
      </c>
      <c r="R55" s="13" t="n"/>
      <c r="S55" s="13" t="n"/>
      <c r="T55" s="13" t="n"/>
      <c r="U55" s="13" t="n"/>
      <c r="V55" s="13" t="n"/>
      <c r="W55" s="13" t="n"/>
      <c r="X55" s="14">
        <f>IF(B55="","",IF(R55&lt;&gt;"","/",IF(S55&lt;&gt;"","OPOW",IF(T55&lt;&gt;"","DJS",IF(U55&lt;&gt;"","FCS",IF(V55&lt;&gt;"","RCS",IF(W55&lt;&gt;"","POLICE","")))))))</f>
        <v/>
      </c>
      <c r="Y55" s="12" t="n"/>
      <c r="Z55" s="15">
        <f>IF(Y55="","",Y55+30)</f>
        <v/>
      </c>
      <c r="AA55" s="13" t="n"/>
      <c r="AB55" s="13" t="n"/>
      <c r="AC55" s="13" t="n"/>
      <c r="AD55" s="13" t="n"/>
      <c r="AE55" s="14">
        <f>IF(B55="","",IF(AA55&lt;&gt;"","مدفوع",IF(AB55&lt;&gt;"","لم يدفع",IF(AC55&lt;&gt;"","تأمين فقط",IF(AD55&lt;&gt;"","اشتراك 300","")))))</f>
        <v/>
      </c>
      <c r="AF55" s="16">
        <f>IF(OR(AE55="لم يدفع",B55=""),"",IF(OR(AE55="تأمين فقط",X55="FCS",X55="RCS"),0,IF(OR(AE55="اشتراك 300",X55="POLICE",X55="OPOW",X55="DJS"),300,IF(H55&lt;14,1300,1500))))</f>
        <v/>
      </c>
      <c r="AG55" s="16">
        <f>IF(OR(AE55="لم يدفع",B55=""),"",500)</f>
        <v/>
      </c>
      <c r="AH55" s="16">
        <f>IF(OR(AE55="لم يدفع",AE55="تأمين فقط",AE55="اشتراك 300",X55="OPOW",X55="DJS",X55="FCS",X55="RCS",X55="POLICE",B55=""),"",1000)</f>
        <v/>
      </c>
      <c r="AI55" s="17">
        <f>IF(AE55="لم يدفع","",IF(AF55="","",AF55+AG55))</f>
        <v/>
      </c>
      <c r="AJ55" s="18">
        <f>IF(B55="","",IF(AE55="لم يدفع","🔒 مجمدة",IF(Z55="","",IF(Z55&lt;TODAY(),"⛔ منتهي - يتطلب تجديد",IF(Z55-5&lt;=TODAY(),"⚠️ قريب الانتهاء","✅ ساري")))))</f>
        <v/>
      </c>
      <c r="AK55" s="13" t="n"/>
      <c r="AL55" s="13" t="n"/>
      <c r="AM55" s="13" t="n"/>
      <c r="AN55" s="13" t="n"/>
      <c r="AO55" s="14">
        <f>IF(B55="","",IF(AK55&lt;&gt;"","الأحد والأربعاء",IF(AL55&lt;&gt;"","الاثنين والخميس",IF(AM55&lt;&gt;"","الثلاثاء والجمعة",IF(AN55&lt;&gt;"","كل الأيام","")))))</f>
        <v/>
      </c>
      <c r="AP55" s="13" t="n"/>
      <c r="AQ55" s="13" t="n"/>
      <c r="AR55" s="13" t="n"/>
      <c r="AS55" s="13" t="n"/>
      <c r="AT55" s="14">
        <f>IF(B55="","",IF(AP55&lt;&gt;"","09:00-10:00",IF(AQ55&lt;&gt;"","10:00-11:00",IF(AR55&lt;&gt;"","19:00-20:00",IF(AS55&lt;&gt;"","20:00-21:00","")))))</f>
        <v/>
      </c>
      <c r="AU55" s="19">
        <f>IF(B55="","",COUNTA(التجديد!E55:E55))</f>
        <v/>
      </c>
    </row>
    <row r="56" ht="22" customHeight="1">
      <c r="A56" s="10">
        <f>IF(B56="","","RCS "&amp;TEXT(ROW()-2,"000"))</f>
        <v/>
      </c>
      <c r="B56" s="11" t="n"/>
      <c r="C56" s="11" t="n"/>
      <c r="D56" s="12" t="n"/>
      <c r="E56" s="13" t="n"/>
      <c r="F56" s="13" t="n"/>
      <c r="G56" s="14">
        <f>IF(B56="","",IF(E56&lt;&gt;"","ذكر",IF(F56&lt;&gt;"","أنثى","")))</f>
        <v/>
      </c>
      <c r="H56" s="14">
        <f>IF(D56="","",DATEDIF(D56,TODAY(),"Y"))</f>
        <v/>
      </c>
      <c r="I56" s="13" t="n"/>
      <c r="J56" s="13" t="n"/>
      <c r="K56" s="13" t="n"/>
      <c r="L56" s="13" t="n"/>
      <c r="M56" s="13" t="n"/>
      <c r="N56" s="13" t="n"/>
      <c r="O56" s="13" t="n"/>
      <c r="P56" s="13" t="n"/>
      <c r="Q56" s="14">
        <f>IF(B56="","",IF(I56&lt;&gt;"","A+",IF(J56&lt;&gt;"","A-",IF(K56&lt;&gt;"","B+",IF(L56&lt;&gt;"","B-",IF(M56&lt;&gt;"","O+",IF(N56&lt;&gt;"","O-",IF(O56&lt;&gt;"","AB+",IF(P56&lt;&gt;"","AB-",""))))))))</f>
        <v/>
      </c>
      <c r="R56" s="13" t="n"/>
      <c r="S56" s="13" t="n"/>
      <c r="T56" s="13" t="n"/>
      <c r="U56" s="13" t="n"/>
      <c r="V56" s="13" t="n"/>
      <c r="W56" s="13" t="n"/>
      <c r="X56" s="14">
        <f>IF(B56="","",IF(R56&lt;&gt;"","/",IF(S56&lt;&gt;"","OPOW",IF(T56&lt;&gt;"","DJS",IF(U56&lt;&gt;"","FCS",IF(V56&lt;&gt;"","RCS",IF(W56&lt;&gt;"","POLICE","")))))))</f>
        <v/>
      </c>
      <c r="Y56" s="12" t="n"/>
      <c r="Z56" s="15">
        <f>IF(Y56="","",Y56+30)</f>
        <v/>
      </c>
      <c r="AA56" s="13" t="n"/>
      <c r="AB56" s="13" t="n"/>
      <c r="AC56" s="13" t="n"/>
      <c r="AD56" s="13" t="n"/>
      <c r="AE56" s="14">
        <f>IF(B56="","",IF(AA56&lt;&gt;"","مدفوع",IF(AB56&lt;&gt;"","لم يدفع",IF(AC56&lt;&gt;"","تأمين فقط",IF(AD56&lt;&gt;"","اشتراك 300","")))))</f>
        <v/>
      </c>
      <c r="AF56" s="16">
        <f>IF(OR(AE56="لم يدفع",B56=""),"",IF(OR(AE56="تأمين فقط",X56="FCS",X56="RCS"),0,IF(OR(AE56="اشتراك 300",X56="POLICE",X56="OPOW",X56="DJS"),300,IF(H56&lt;14,1300,1500))))</f>
        <v/>
      </c>
      <c r="AG56" s="16">
        <f>IF(OR(AE56="لم يدفع",B56=""),"",500)</f>
        <v/>
      </c>
      <c r="AH56" s="16">
        <f>IF(OR(AE56="لم يدفع",AE56="تأمين فقط",AE56="اشتراك 300",X56="OPOW",X56="DJS",X56="FCS",X56="RCS",X56="POLICE",B56=""),"",1000)</f>
        <v/>
      </c>
      <c r="AI56" s="17">
        <f>IF(AE56="لم يدفع","",IF(AF56="","",AF56+AG56))</f>
        <v/>
      </c>
      <c r="AJ56" s="18">
        <f>IF(B56="","",IF(AE56="لم يدفع","🔒 مجمدة",IF(Z56="","",IF(Z56&lt;TODAY(),"⛔ منتهي - يتطلب تجديد",IF(Z56-5&lt;=TODAY(),"⚠️ قريب الانتهاء","✅ ساري")))))</f>
        <v/>
      </c>
      <c r="AK56" s="13" t="n"/>
      <c r="AL56" s="13" t="n"/>
      <c r="AM56" s="13" t="n"/>
      <c r="AN56" s="13" t="n"/>
      <c r="AO56" s="14">
        <f>IF(B56="","",IF(AK56&lt;&gt;"","الأحد والأربعاء",IF(AL56&lt;&gt;"","الاثنين والخميس",IF(AM56&lt;&gt;"","الثلاثاء والجمعة",IF(AN56&lt;&gt;"","كل الأيام","")))))</f>
        <v/>
      </c>
      <c r="AP56" s="13" t="n"/>
      <c r="AQ56" s="13" t="n"/>
      <c r="AR56" s="13" t="n"/>
      <c r="AS56" s="13" t="n"/>
      <c r="AT56" s="14">
        <f>IF(B56="","",IF(AP56&lt;&gt;"","09:00-10:00",IF(AQ56&lt;&gt;"","10:00-11:00",IF(AR56&lt;&gt;"","19:00-20:00",IF(AS56&lt;&gt;"","20:00-21:00","")))))</f>
        <v/>
      </c>
      <c r="AU56" s="19">
        <f>IF(B56="","",COUNTA(التجديد!E56:E56))</f>
        <v/>
      </c>
    </row>
    <row r="57" ht="22" customHeight="1">
      <c r="A57" s="10">
        <f>IF(B57="","","RCS "&amp;TEXT(ROW()-2,"000"))</f>
        <v/>
      </c>
      <c r="B57" s="11" t="n"/>
      <c r="C57" s="11" t="n"/>
      <c r="D57" s="12" t="n"/>
      <c r="E57" s="13" t="n"/>
      <c r="F57" s="13" t="n"/>
      <c r="G57" s="14">
        <f>IF(B57="","",IF(E57&lt;&gt;"","ذكر",IF(F57&lt;&gt;"","أنثى","")))</f>
        <v/>
      </c>
      <c r="H57" s="14">
        <f>IF(D57="","",DATEDIF(D57,TODAY(),"Y"))</f>
        <v/>
      </c>
      <c r="I57" s="13" t="n"/>
      <c r="J57" s="13" t="n"/>
      <c r="K57" s="13" t="n"/>
      <c r="L57" s="13" t="n"/>
      <c r="M57" s="13" t="n"/>
      <c r="N57" s="13" t="n"/>
      <c r="O57" s="13" t="n"/>
      <c r="P57" s="13" t="n"/>
      <c r="Q57" s="14">
        <f>IF(B57="","",IF(I57&lt;&gt;"","A+",IF(J57&lt;&gt;"","A-",IF(K57&lt;&gt;"","B+",IF(L57&lt;&gt;"","B-",IF(M57&lt;&gt;"","O+",IF(N57&lt;&gt;"","O-",IF(O57&lt;&gt;"","AB+",IF(P57&lt;&gt;"","AB-",""))))))))</f>
        <v/>
      </c>
      <c r="R57" s="13" t="n"/>
      <c r="S57" s="13" t="n"/>
      <c r="T57" s="13" t="n"/>
      <c r="U57" s="13" t="n"/>
      <c r="V57" s="13" t="n"/>
      <c r="W57" s="13" t="n"/>
      <c r="X57" s="14">
        <f>IF(B57="","",IF(R57&lt;&gt;"","/",IF(S57&lt;&gt;"","OPOW",IF(T57&lt;&gt;"","DJS",IF(U57&lt;&gt;"","FCS",IF(V57&lt;&gt;"","RCS",IF(W57&lt;&gt;"","POLICE","")))))))</f>
        <v/>
      </c>
      <c r="Y57" s="12" t="n"/>
      <c r="Z57" s="15">
        <f>IF(Y57="","",Y57+30)</f>
        <v/>
      </c>
      <c r="AA57" s="13" t="n"/>
      <c r="AB57" s="13" t="n"/>
      <c r="AC57" s="13" t="n"/>
      <c r="AD57" s="13" t="n"/>
      <c r="AE57" s="14">
        <f>IF(B57="","",IF(AA57&lt;&gt;"","مدفوع",IF(AB57&lt;&gt;"","لم يدفع",IF(AC57&lt;&gt;"","تأمين فقط",IF(AD57&lt;&gt;"","اشتراك 300","")))))</f>
        <v/>
      </c>
      <c r="AF57" s="16">
        <f>IF(OR(AE57="لم يدفع",B57=""),"",IF(OR(AE57="تأمين فقط",X57="FCS",X57="RCS"),0,IF(OR(AE57="اشتراك 300",X57="POLICE",X57="OPOW",X57="DJS"),300,IF(H57&lt;14,1300,1500))))</f>
        <v/>
      </c>
      <c r="AG57" s="16">
        <f>IF(OR(AE57="لم يدفع",B57=""),"",500)</f>
        <v/>
      </c>
      <c r="AH57" s="16">
        <f>IF(OR(AE57="لم يدفع",AE57="تأمين فقط",AE57="اشتراك 300",X57="OPOW",X57="DJS",X57="FCS",X57="RCS",X57="POLICE",B57=""),"",1000)</f>
        <v/>
      </c>
      <c r="AI57" s="17">
        <f>IF(AE57="لم يدفع","",IF(AF57="","",AF57+AG57))</f>
        <v/>
      </c>
      <c r="AJ57" s="18">
        <f>IF(B57="","",IF(AE57="لم يدفع","🔒 مجمدة",IF(Z57="","",IF(Z57&lt;TODAY(),"⛔ منتهي - يتطلب تجديد",IF(Z57-5&lt;=TODAY(),"⚠️ قريب الانتهاء","✅ ساري")))))</f>
        <v/>
      </c>
      <c r="AK57" s="13" t="n"/>
      <c r="AL57" s="13" t="n"/>
      <c r="AM57" s="13" t="n"/>
      <c r="AN57" s="13" t="n"/>
      <c r="AO57" s="14">
        <f>IF(B57="","",IF(AK57&lt;&gt;"","الأحد والأربعاء",IF(AL57&lt;&gt;"","الاثنين والخميس",IF(AM57&lt;&gt;"","الثلاثاء والجمعة",IF(AN57&lt;&gt;"","كل الأيام","")))))</f>
        <v/>
      </c>
      <c r="AP57" s="13" t="n"/>
      <c r="AQ57" s="13" t="n"/>
      <c r="AR57" s="13" t="n"/>
      <c r="AS57" s="13" t="n"/>
      <c r="AT57" s="14">
        <f>IF(B57="","",IF(AP57&lt;&gt;"","09:00-10:00",IF(AQ57&lt;&gt;"","10:00-11:00",IF(AR57&lt;&gt;"","19:00-20:00",IF(AS57&lt;&gt;"","20:00-21:00","")))))</f>
        <v/>
      </c>
      <c r="AU57" s="19">
        <f>IF(B57="","",COUNTA(التجديد!E57:E57))</f>
        <v/>
      </c>
    </row>
    <row r="58" ht="22" customHeight="1">
      <c r="A58" s="10">
        <f>IF(B58="","","RCS "&amp;TEXT(ROW()-2,"000"))</f>
        <v/>
      </c>
      <c r="B58" s="11" t="n"/>
      <c r="C58" s="11" t="n"/>
      <c r="D58" s="12" t="n"/>
      <c r="E58" s="13" t="n"/>
      <c r="F58" s="13" t="n"/>
      <c r="G58" s="14">
        <f>IF(B58="","",IF(E58&lt;&gt;"","ذكر",IF(F58&lt;&gt;"","أنثى","")))</f>
        <v/>
      </c>
      <c r="H58" s="14">
        <f>IF(D58="","",DATEDIF(D58,TODAY(),"Y"))</f>
        <v/>
      </c>
      <c r="I58" s="13" t="n"/>
      <c r="J58" s="13" t="n"/>
      <c r="K58" s="13" t="n"/>
      <c r="L58" s="13" t="n"/>
      <c r="M58" s="13" t="n"/>
      <c r="N58" s="13" t="n"/>
      <c r="O58" s="13" t="n"/>
      <c r="P58" s="13" t="n"/>
      <c r="Q58" s="14">
        <f>IF(B58="","",IF(I58&lt;&gt;"","A+",IF(J58&lt;&gt;"","A-",IF(K58&lt;&gt;"","B+",IF(L58&lt;&gt;"","B-",IF(M58&lt;&gt;"","O+",IF(N58&lt;&gt;"","O-",IF(O58&lt;&gt;"","AB+",IF(P58&lt;&gt;"","AB-",""))))))))</f>
        <v/>
      </c>
      <c r="R58" s="13" t="n"/>
      <c r="S58" s="13" t="n"/>
      <c r="T58" s="13" t="n"/>
      <c r="U58" s="13" t="n"/>
      <c r="V58" s="13" t="n"/>
      <c r="W58" s="13" t="n"/>
      <c r="X58" s="14">
        <f>IF(B58="","",IF(R58&lt;&gt;"","/",IF(S58&lt;&gt;"","OPOW",IF(T58&lt;&gt;"","DJS",IF(U58&lt;&gt;"","FCS",IF(V58&lt;&gt;"","RCS",IF(W58&lt;&gt;"","POLICE","")))))))</f>
        <v/>
      </c>
      <c r="Y58" s="12" t="n"/>
      <c r="Z58" s="15">
        <f>IF(Y58="","",Y58+30)</f>
        <v/>
      </c>
      <c r="AA58" s="13" t="n"/>
      <c r="AB58" s="13" t="n"/>
      <c r="AC58" s="13" t="n"/>
      <c r="AD58" s="13" t="n"/>
      <c r="AE58" s="14">
        <f>IF(B58="","",IF(AA58&lt;&gt;"","مدفوع",IF(AB58&lt;&gt;"","لم يدفع",IF(AC58&lt;&gt;"","تأمين فقط",IF(AD58&lt;&gt;"","اشتراك 300","")))))</f>
        <v/>
      </c>
      <c r="AF58" s="16">
        <f>IF(OR(AE58="لم يدفع",B58=""),"",IF(OR(AE58="تأمين فقط",X58="FCS",X58="RCS"),0,IF(OR(AE58="اشتراك 300",X58="POLICE",X58="OPOW",X58="DJS"),300,IF(H58&lt;14,1300,1500))))</f>
        <v/>
      </c>
      <c r="AG58" s="16">
        <f>IF(OR(AE58="لم يدفع",B58=""),"",500)</f>
        <v/>
      </c>
      <c r="AH58" s="16">
        <f>IF(OR(AE58="لم يدفع",AE58="تأمين فقط",AE58="اشتراك 300",X58="OPOW",X58="DJS",X58="FCS",X58="RCS",X58="POLICE",B58=""),"",1000)</f>
        <v/>
      </c>
      <c r="AI58" s="17">
        <f>IF(AE58="لم يدفع","",IF(AF58="","",AF58+AG58))</f>
        <v/>
      </c>
      <c r="AJ58" s="18">
        <f>IF(B58="","",IF(AE58="لم يدفع","🔒 مجمدة",IF(Z58="","",IF(Z58&lt;TODAY(),"⛔ منتهي - يتطلب تجديد",IF(Z58-5&lt;=TODAY(),"⚠️ قريب الانتهاء","✅ ساري")))))</f>
        <v/>
      </c>
      <c r="AK58" s="13" t="n"/>
      <c r="AL58" s="13" t="n"/>
      <c r="AM58" s="13" t="n"/>
      <c r="AN58" s="13" t="n"/>
      <c r="AO58" s="14">
        <f>IF(B58="","",IF(AK58&lt;&gt;"","الأحد والأربعاء",IF(AL58&lt;&gt;"","الاثنين والخميس",IF(AM58&lt;&gt;"","الثلاثاء والجمعة",IF(AN58&lt;&gt;"","كل الأيام","")))))</f>
        <v/>
      </c>
      <c r="AP58" s="13" t="n"/>
      <c r="AQ58" s="13" t="n"/>
      <c r="AR58" s="13" t="n"/>
      <c r="AS58" s="13" t="n"/>
      <c r="AT58" s="14">
        <f>IF(B58="","",IF(AP58&lt;&gt;"","09:00-10:00",IF(AQ58&lt;&gt;"","10:00-11:00",IF(AR58&lt;&gt;"","19:00-20:00",IF(AS58&lt;&gt;"","20:00-21:00","")))))</f>
        <v/>
      </c>
      <c r="AU58" s="19">
        <f>IF(B58="","",COUNTA(التجديد!E58:E58))</f>
        <v/>
      </c>
    </row>
    <row r="59" ht="22" customHeight="1">
      <c r="A59" s="10">
        <f>IF(B59="","","RCS "&amp;TEXT(ROW()-2,"000"))</f>
        <v/>
      </c>
      <c r="B59" s="11" t="n"/>
      <c r="C59" s="11" t="n"/>
      <c r="D59" s="12" t="n"/>
      <c r="E59" s="13" t="n"/>
      <c r="F59" s="13" t="n"/>
      <c r="G59" s="14">
        <f>IF(B59="","",IF(E59&lt;&gt;"","ذكر",IF(F59&lt;&gt;"","أنثى","")))</f>
        <v/>
      </c>
      <c r="H59" s="14">
        <f>IF(D59="","",DATEDIF(D59,TODAY(),"Y"))</f>
        <v/>
      </c>
      <c r="I59" s="13" t="n"/>
      <c r="J59" s="13" t="n"/>
      <c r="K59" s="13" t="n"/>
      <c r="L59" s="13" t="n"/>
      <c r="M59" s="13" t="n"/>
      <c r="N59" s="13" t="n"/>
      <c r="O59" s="13" t="n"/>
      <c r="P59" s="13" t="n"/>
      <c r="Q59" s="14">
        <f>IF(B59="","",IF(I59&lt;&gt;"","A+",IF(J59&lt;&gt;"","A-",IF(K59&lt;&gt;"","B+",IF(L59&lt;&gt;"","B-",IF(M59&lt;&gt;"","O+",IF(N59&lt;&gt;"","O-",IF(O59&lt;&gt;"","AB+",IF(P59&lt;&gt;"","AB-",""))))))))</f>
        <v/>
      </c>
      <c r="R59" s="13" t="n"/>
      <c r="S59" s="13" t="n"/>
      <c r="T59" s="13" t="n"/>
      <c r="U59" s="13" t="n"/>
      <c r="V59" s="13" t="n"/>
      <c r="W59" s="13" t="n"/>
      <c r="X59" s="14">
        <f>IF(B59="","",IF(R59&lt;&gt;"","/",IF(S59&lt;&gt;"","OPOW",IF(T59&lt;&gt;"","DJS",IF(U59&lt;&gt;"","FCS",IF(V59&lt;&gt;"","RCS",IF(W59&lt;&gt;"","POLICE","")))))))</f>
        <v/>
      </c>
      <c r="Y59" s="12" t="n"/>
      <c r="Z59" s="15">
        <f>IF(Y59="","",Y59+30)</f>
        <v/>
      </c>
      <c r="AA59" s="13" t="n"/>
      <c r="AB59" s="13" t="n"/>
      <c r="AC59" s="13" t="n"/>
      <c r="AD59" s="13" t="n"/>
      <c r="AE59" s="14">
        <f>IF(B59="","",IF(AA59&lt;&gt;"","مدفوع",IF(AB59&lt;&gt;"","لم يدفع",IF(AC59&lt;&gt;"","تأمين فقط",IF(AD59&lt;&gt;"","اشتراك 300","")))))</f>
        <v/>
      </c>
      <c r="AF59" s="16">
        <f>IF(OR(AE59="لم يدفع",B59=""),"",IF(OR(AE59="تأمين فقط",X59="FCS",X59="RCS"),0,IF(OR(AE59="اشتراك 300",X59="POLICE",X59="OPOW",X59="DJS"),300,IF(H59&lt;14,1300,1500))))</f>
        <v/>
      </c>
      <c r="AG59" s="16">
        <f>IF(OR(AE59="لم يدفع",B59=""),"",500)</f>
        <v/>
      </c>
      <c r="AH59" s="16">
        <f>IF(OR(AE59="لم يدفع",AE59="تأمين فقط",AE59="اشتراك 300",X59="OPOW",X59="DJS",X59="FCS",X59="RCS",X59="POLICE",B59=""),"",1000)</f>
        <v/>
      </c>
      <c r="AI59" s="17">
        <f>IF(AE59="لم يدفع","",IF(AF59="","",AF59+AG59))</f>
        <v/>
      </c>
      <c r="AJ59" s="18">
        <f>IF(B59="","",IF(AE59="لم يدفع","🔒 مجمدة",IF(Z59="","",IF(Z59&lt;TODAY(),"⛔ منتهي - يتطلب تجديد",IF(Z59-5&lt;=TODAY(),"⚠️ قريب الانتهاء","✅ ساري")))))</f>
        <v/>
      </c>
      <c r="AK59" s="13" t="n"/>
      <c r="AL59" s="13" t="n"/>
      <c r="AM59" s="13" t="n"/>
      <c r="AN59" s="13" t="n"/>
      <c r="AO59" s="14">
        <f>IF(B59="","",IF(AK59&lt;&gt;"","الأحد والأربعاء",IF(AL59&lt;&gt;"","الاثنين والخميس",IF(AM59&lt;&gt;"","الثلاثاء والجمعة",IF(AN59&lt;&gt;"","كل الأيام","")))))</f>
        <v/>
      </c>
      <c r="AP59" s="13" t="n"/>
      <c r="AQ59" s="13" t="n"/>
      <c r="AR59" s="13" t="n"/>
      <c r="AS59" s="13" t="n"/>
      <c r="AT59" s="14">
        <f>IF(B59="","",IF(AP59&lt;&gt;"","09:00-10:00",IF(AQ59&lt;&gt;"","10:00-11:00",IF(AR59&lt;&gt;"","19:00-20:00",IF(AS59&lt;&gt;"","20:00-21:00","")))))</f>
        <v/>
      </c>
      <c r="AU59" s="19">
        <f>IF(B59="","",COUNTA(التجديد!E59:E59))</f>
        <v/>
      </c>
    </row>
    <row r="60" ht="22" customHeight="1">
      <c r="A60" s="10">
        <f>IF(B60="","","RCS "&amp;TEXT(ROW()-2,"000"))</f>
        <v/>
      </c>
      <c r="B60" s="11" t="n"/>
      <c r="C60" s="11" t="n"/>
      <c r="D60" s="12" t="n"/>
      <c r="E60" s="13" t="n"/>
      <c r="F60" s="13" t="n"/>
      <c r="G60" s="14">
        <f>IF(B60="","",IF(E60&lt;&gt;"","ذكر",IF(F60&lt;&gt;"","أنثى","")))</f>
        <v/>
      </c>
      <c r="H60" s="14">
        <f>IF(D60="","",DATEDIF(D60,TODAY(),"Y"))</f>
        <v/>
      </c>
      <c r="I60" s="13" t="n"/>
      <c r="J60" s="13" t="n"/>
      <c r="K60" s="13" t="n"/>
      <c r="L60" s="13" t="n"/>
      <c r="M60" s="13" t="n"/>
      <c r="N60" s="13" t="n"/>
      <c r="O60" s="13" t="n"/>
      <c r="P60" s="13" t="n"/>
      <c r="Q60" s="14">
        <f>IF(B60="","",IF(I60&lt;&gt;"","A+",IF(J60&lt;&gt;"","A-",IF(K60&lt;&gt;"","B+",IF(L60&lt;&gt;"","B-",IF(M60&lt;&gt;"","O+",IF(N60&lt;&gt;"","O-",IF(O60&lt;&gt;"","AB+",IF(P60&lt;&gt;"","AB-",""))))))))</f>
        <v/>
      </c>
      <c r="R60" s="13" t="n"/>
      <c r="S60" s="13" t="n"/>
      <c r="T60" s="13" t="n"/>
      <c r="U60" s="13" t="n"/>
      <c r="V60" s="13" t="n"/>
      <c r="W60" s="13" t="n"/>
      <c r="X60" s="14">
        <f>IF(B60="","",IF(R60&lt;&gt;"","/",IF(S60&lt;&gt;"","OPOW",IF(T60&lt;&gt;"","DJS",IF(U60&lt;&gt;"","FCS",IF(V60&lt;&gt;"","RCS",IF(W60&lt;&gt;"","POLICE","")))))))</f>
        <v/>
      </c>
      <c r="Y60" s="12" t="n"/>
      <c r="Z60" s="15">
        <f>IF(Y60="","",Y60+30)</f>
        <v/>
      </c>
      <c r="AA60" s="13" t="n"/>
      <c r="AB60" s="13" t="n"/>
      <c r="AC60" s="13" t="n"/>
      <c r="AD60" s="13" t="n"/>
      <c r="AE60" s="14">
        <f>IF(B60="","",IF(AA60&lt;&gt;"","مدفوع",IF(AB60&lt;&gt;"","لم يدفع",IF(AC60&lt;&gt;"","تأمين فقط",IF(AD60&lt;&gt;"","اشتراك 300","")))))</f>
        <v/>
      </c>
      <c r="AF60" s="16">
        <f>IF(OR(AE60="لم يدفع",B60=""),"",IF(OR(AE60="تأمين فقط",X60="FCS",X60="RCS"),0,IF(OR(AE60="اشتراك 300",X60="POLICE",X60="OPOW",X60="DJS"),300,IF(H60&lt;14,1300,1500))))</f>
        <v/>
      </c>
      <c r="AG60" s="16">
        <f>IF(OR(AE60="لم يدفع",B60=""),"",500)</f>
        <v/>
      </c>
      <c r="AH60" s="16">
        <f>IF(OR(AE60="لم يدفع",AE60="تأمين فقط",AE60="اشتراك 300",X60="OPOW",X60="DJS",X60="FCS",X60="RCS",X60="POLICE",B60=""),"",1000)</f>
        <v/>
      </c>
      <c r="AI60" s="17">
        <f>IF(AE60="لم يدفع","",IF(AF60="","",AF60+AG60))</f>
        <v/>
      </c>
      <c r="AJ60" s="18">
        <f>IF(B60="","",IF(AE60="لم يدفع","🔒 مجمدة",IF(Z60="","",IF(Z60&lt;TODAY(),"⛔ منتهي - يتطلب تجديد",IF(Z60-5&lt;=TODAY(),"⚠️ قريب الانتهاء","✅ ساري")))))</f>
        <v/>
      </c>
      <c r="AK60" s="13" t="n"/>
      <c r="AL60" s="13" t="n"/>
      <c r="AM60" s="13" t="n"/>
      <c r="AN60" s="13" t="n"/>
      <c r="AO60" s="14">
        <f>IF(B60="","",IF(AK60&lt;&gt;"","الأحد والأربعاء",IF(AL60&lt;&gt;"","الاثنين والخميس",IF(AM60&lt;&gt;"","الثلاثاء والجمعة",IF(AN60&lt;&gt;"","كل الأيام","")))))</f>
        <v/>
      </c>
      <c r="AP60" s="13" t="n"/>
      <c r="AQ60" s="13" t="n"/>
      <c r="AR60" s="13" t="n"/>
      <c r="AS60" s="13" t="n"/>
      <c r="AT60" s="14">
        <f>IF(B60="","",IF(AP60&lt;&gt;"","09:00-10:00",IF(AQ60&lt;&gt;"","10:00-11:00",IF(AR60&lt;&gt;"","19:00-20:00",IF(AS60&lt;&gt;"","20:00-21:00","")))))</f>
        <v/>
      </c>
      <c r="AU60" s="19">
        <f>IF(B60="","",COUNTA(التجديد!E60:E60))</f>
        <v/>
      </c>
    </row>
    <row r="61" ht="22" customHeight="1">
      <c r="A61" s="10">
        <f>IF(B61="","","RCS "&amp;TEXT(ROW()-2,"000"))</f>
        <v/>
      </c>
      <c r="B61" s="11" t="n"/>
      <c r="C61" s="11" t="n"/>
      <c r="D61" s="12" t="n"/>
      <c r="E61" s="13" t="n"/>
      <c r="F61" s="13" t="n"/>
      <c r="G61" s="14">
        <f>IF(B61="","",IF(E61&lt;&gt;"","ذكر",IF(F61&lt;&gt;"","أنثى","")))</f>
        <v/>
      </c>
      <c r="H61" s="14">
        <f>IF(D61="","",DATEDIF(D61,TODAY(),"Y"))</f>
        <v/>
      </c>
      <c r="I61" s="13" t="n"/>
      <c r="J61" s="13" t="n"/>
      <c r="K61" s="13" t="n"/>
      <c r="L61" s="13" t="n"/>
      <c r="M61" s="13" t="n"/>
      <c r="N61" s="13" t="n"/>
      <c r="O61" s="13" t="n"/>
      <c r="P61" s="13" t="n"/>
      <c r="Q61" s="14">
        <f>IF(B61="","",IF(I61&lt;&gt;"","A+",IF(J61&lt;&gt;"","A-",IF(K61&lt;&gt;"","B+",IF(L61&lt;&gt;"","B-",IF(M61&lt;&gt;"","O+",IF(N61&lt;&gt;"","O-",IF(O61&lt;&gt;"","AB+",IF(P61&lt;&gt;"","AB-",""))))))))</f>
        <v/>
      </c>
      <c r="R61" s="13" t="n"/>
      <c r="S61" s="13" t="n"/>
      <c r="T61" s="13" t="n"/>
      <c r="U61" s="13" t="n"/>
      <c r="V61" s="13" t="n"/>
      <c r="W61" s="13" t="n"/>
      <c r="X61" s="14">
        <f>IF(B61="","",IF(R61&lt;&gt;"","/",IF(S61&lt;&gt;"","OPOW",IF(T61&lt;&gt;"","DJS",IF(U61&lt;&gt;"","FCS",IF(V61&lt;&gt;"","RCS",IF(W61&lt;&gt;"","POLICE","")))))))</f>
        <v/>
      </c>
      <c r="Y61" s="12" t="n"/>
      <c r="Z61" s="15">
        <f>IF(Y61="","",Y61+30)</f>
        <v/>
      </c>
      <c r="AA61" s="13" t="n"/>
      <c r="AB61" s="13" t="n"/>
      <c r="AC61" s="13" t="n"/>
      <c r="AD61" s="13" t="n"/>
      <c r="AE61" s="14">
        <f>IF(B61="","",IF(AA61&lt;&gt;"","مدفوع",IF(AB61&lt;&gt;"","لم يدفع",IF(AC61&lt;&gt;"","تأمين فقط",IF(AD61&lt;&gt;"","اشتراك 300","")))))</f>
        <v/>
      </c>
      <c r="AF61" s="16">
        <f>IF(OR(AE61="لم يدفع",B61=""),"",IF(OR(AE61="تأمين فقط",X61="FCS",X61="RCS"),0,IF(OR(AE61="اشتراك 300",X61="POLICE",X61="OPOW",X61="DJS"),300,IF(H61&lt;14,1300,1500))))</f>
        <v/>
      </c>
      <c r="AG61" s="16">
        <f>IF(OR(AE61="لم يدفع",B61=""),"",500)</f>
        <v/>
      </c>
      <c r="AH61" s="16">
        <f>IF(OR(AE61="لم يدفع",AE61="تأمين فقط",AE61="اشتراك 300",X61="OPOW",X61="DJS",X61="FCS",X61="RCS",X61="POLICE",B61=""),"",1000)</f>
        <v/>
      </c>
      <c r="AI61" s="17">
        <f>IF(AE61="لم يدفع","",IF(AF61="","",AF61+AG61))</f>
        <v/>
      </c>
      <c r="AJ61" s="18">
        <f>IF(B61="","",IF(AE61="لم يدفع","🔒 مجمدة",IF(Z61="","",IF(Z61&lt;TODAY(),"⛔ منتهي - يتطلب تجديد",IF(Z61-5&lt;=TODAY(),"⚠️ قريب الانتهاء","✅ ساري")))))</f>
        <v/>
      </c>
      <c r="AK61" s="13" t="n"/>
      <c r="AL61" s="13" t="n"/>
      <c r="AM61" s="13" t="n"/>
      <c r="AN61" s="13" t="n"/>
      <c r="AO61" s="14">
        <f>IF(B61="","",IF(AK61&lt;&gt;"","الأحد والأربعاء",IF(AL61&lt;&gt;"","الاثنين والخميس",IF(AM61&lt;&gt;"","الثلاثاء والجمعة",IF(AN61&lt;&gt;"","كل الأيام","")))))</f>
        <v/>
      </c>
      <c r="AP61" s="13" t="n"/>
      <c r="AQ61" s="13" t="n"/>
      <c r="AR61" s="13" t="n"/>
      <c r="AS61" s="13" t="n"/>
      <c r="AT61" s="14">
        <f>IF(B61="","",IF(AP61&lt;&gt;"","09:00-10:00",IF(AQ61&lt;&gt;"","10:00-11:00",IF(AR61&lt;&gt;"","19:00-20:00",IF(AS61&lt;&gt;"","20:00-21:00","")))))</f>
        <v/>
      </c>
      <c r="AU61" s="19">
        <f>IF(B61="","",COUNTA(التجديد!E61:E61))</f>
        <v/>
      </c>
    </row>
    <row r="62" ht="22" customHeight="1">
      <c r="A62" s="10">
        <f>IF(B62="","","RCS "&amp;TEXT(ROW()-2,"000"))</f>
        <v/>
      </c>
      <c r="B62" s="11" t="n"/>
      <c r="C62" s="11" t="n"/>
      <c r="D62" s="12" t="n"/>
      <c r="E62" s="13" t="n"/>
      <c r="F62" s="13" t="n"/>
      <c r="G62" s="14">
        <f>IF(B62="","",IF(E62&lt;&gt;"","ذكر",IF(F62&lt;&gt;"","أنثى","")))</f>
        <v/>
      </c>
      <c r="H62" s="14">
        <f>IF(D62="","",DATEDIF(D62,TODAY(),"Y"))</f>
        <v/>
      </c>
      <c r="I62" s="13" t="n"/>
      <c r="J62" s="13" t="n"/>
      <c r="K62" s="13" t="n"/>
      <c r="L62" s="13" t="n"/>
      <c r="M62" s="13" t="n"/>
      <c r="N62" s="13" t="n"/>
      <c r="O62" s="13" t="n"/>
      <c r="P62" s="13" t="n"/>
      <c r="Q62" s="14">
        <f>IF(B62="","",IF(I62&lt;&gt;"","A+",IF(J62&lt;&gt;"","A-",IF(K62&lt;&gt;"","B+",IF(L62&lt;&gt;"","B-",IF(M62&lt;&gt;"","O+",IF(N62&lt;&gt;"","O-",IF(O62&lt;&gt;"","AB+",IF(P62&lt;&gt;"","AB-",""))))))))</f>
        <v/>
      </c>
      <c r="R62" s="13" t="n"/>
      <c r="S62" s="13" t="n"/>
      <c r="T62" s="13" t="n"/>
      <c r="U62" s="13" t="n"/>
      <c r="V62" s="13" t="n"/>
      <c r="W62" s="13" t="n"/>
      <c r="X62" s="14">
        <f>IF(B62="","",IF(R62&lt;&gt;"","/",IF(S62&lt;&gt;"","OPOW",IF(T62&lt;&gt;"","DJS",IF(U62&lt;&gt;"","FCS",IF(V62&lt;&gt;"","RCS",IF(W62&lt;&gt;"","POLICE","")))))))</f>
        <v/>
      </c>
      <c r="Y62" s="12" t="n"/>
      <c r="Z62" s="15">
        <f>IF(Y62="","",Y62+30)</f>
        <v/>
      </c>
      <c r="AA62" s="13" t="n"/>
      <c r="AB62" s="13" t="n"/>
      <c r="AC62" s="13" t="n"/>
      <c r="AD62" s="13" t="n"/>
      <c r="AE62" s="14">
        <f>IF(B62="","",IF(AA62&lt;&gt;"","مدفوع",IF(AB62&lt;&gt;"","لم يدفع",IF(AC62&lt;&gt;"","تأمين فقط",IF(AD62&lt;&gt;"","اشتراك 300","")))))</f>
        <v/>
      </c>
      <c r="AF62" s="16">
        <f>IF(OR(AE62="لم يدفع",B62=""),"",IF(OR(AE62="تأمين فقط",X62="FCS",X62="RCS"),0,IF(OR(AE62="اشتراك 300",X62="POLICE",X62="OPOW",X62="DJS"),300,IF(H62&lt;14,1300,1500))))</f>
        <v/>
      </c>
      <c r="AG62" s="16">
        <f>IF(OR(AE62="لم يدفع",B62=""),"",500)</f>
        <v/>
      </c>
      <c r="AH62" s="16">
        <f>IF(OR(AE62="لم يدفع",AE62="تأمين فقط",AE62="اشتراك 300",X62="OPOW",X62="DJS",X62="FCS",X62="RCS",X62="POLICE",B62=""),"",1000)</f>
        <v/>
      </c>
      <c r="AI62" s="17">
        <f>IF(AE62="لم يدفع","",IF(AF62="","",AF62+AG62))</f>
        <v/>
      </c>
      <c r="AJ62" s="18">
        <f>IF(B62="","",IF(AE62="لم يدفع","🔒 مجمدة",IF(Z62="","",IF(Z62&lt;TODAY(),"⛔ منتهي - يتطلب تجديد",IF(Z62-5&lt;=TODAY(),"⚠️ قريب الانتهاء","✅ ساري")))))</f>
        <v/>
      </c>
      <c r="AK62" s="13" t="n"/>
      <c r="AL62" s="13" t="n"/>
      <c r="AM62" s="13" t="n"/>
      <c r="AN62" s="13" t="n"/>
      <c r="AO62" s="14">
        <f>IF(B62="","",IF(AK62&lt;&gt;"","الأحد والأربعاء",IF(AL62&lt;&gt;"","الاثنين والخميس",IF(AM62&lt;&gt;"","الثلاثاء والجمعة",IF(AN62&lt;&gt;"","كل الأيام","")))))</f>
        <v/>
      </c>
      <c r="AP62" s="13" t="n"/>
      <c r="AQ62" s="13" t="n"/>
      <c r="AR62" s="13" t="n"/>
      <c r="AS62" s="13" t="n"/>
      <c r="AT62" s="14">
        <f>IF(B62="","",IF(AP62&lt;&gt;"","09:00-10:00",IF(AQ62&lt;&gt;"","10:00-11:00",IF(AR62&lt;&gt;"","19:00-20:00",IF(AS62&lt;&gt;"","20:00-21:00","")))))</f>
        <v/>
      </c>
      <c r="AU62" s="19">
        <f>IF(B62="","",COUNTA(التجديد!E62:E62))</f>
        <v/>
      </c>
    </row>
    <row r="63" ht="22" customHeight="1">
      <c r="A63" s="10">
        <f>IF(B63="","","RCS "&amp;TEXT(ROW()-2,"000"))</f>
        <v/>
      </c>
      <c r="B63" s="11" t="n"/>
      <c r="C63" s="11" t="n"/>
      <c r="D63" s="12" t="n"/>
      <c r="E63" s="13" t="n"/>
      <c r="F63" s="13" t="n"/>
      <c r="G63" s="14">
        <f>IF(B63="","",IF(E63&lt;&gt;"","ذكر",IF(F63&lt;&gt;"","أنثى","")))</f>
        <v/>
      </c>
      <c r="H63" s="14">
        <f>IF(D63="","",DATEDIF(D63,TODAY(),"Y"))</f>
        <v/>
      </c>
      <c r="I63" s="13" t="n"/>
      <c r="J63" s="13" t="n"/>
      <c r="K63" s="13" t="n"/>
      <c r="L63" s="13" t="n"/>
      <c r="M63" s="13" t="n"/>
      <c r="N63" s="13" t="n"/>
      <c r="O63" s="13" t="n"/>
      <c r="P63" s="13" t="n"/>
      <c r="Q63" s="14">
        <f>IF(B63="","",IF(I63&lt;&gt;"","A+",IF(J63&lt;&gt;"","A-",IF(K63&lt;&gt;"","B+",IF(L63&lt;&gt;"","B-",IF(M63&lt;&gt;"","O+",IF(N63&lt;&gt;"","O-",IF(O63&lt;&gt;"","AB+",IF(P63&lt;&gt;"","AB-",""))))))))</f>
        <v/>
      </c>
      <c r="R63" s="13" t="n"/>
      <c r="S63" s="13" t="n"/>
      <c r="T63" s="13" t="n"/>
      <c r="U63" s="13" t="n"/>
      <c r="V63" s="13" t="n"/>
      <c r="W63" s="13" t="n"/>
      <c r="X63" s="14">
        <f>IF(B63="","",IF(R63&lt;&gt;"","/",IF(S63&lt;&gt;"","OPOW",IF(T63&lt;&gt;"","DJS",IF(U63&lt;&gt;"","FCS",IF(V63&lt;&gt;"","RCS",IF(W63&lt;&gt;"","POLICE","")))))))</f>
        <v/>
      </c>
      <c r="Y63" s="12" t="n"/>
      <c r="Z63" s="15">
        <f>IF(Y63="","",Y63+30)</f>
        <v/>
      </c>
      <c r="AA63" s="13" t="n"/>
      <c r="AB63" s="13" t="n"/>
      <c r="AC63" s="13" t="n"/>
      <c r="AD63" s="13" t="n"/>
      <c r="AE63" s="14">
        <f>IF(B63="","",IF(AA63&lt;&gt;"","مدفوع",IF(AB63&lt;&gt;"","لم يدفع",IF(AC63&lt;&gt;"","تأمين فقط",IF(AD63&lt;&gt;"","اشتراك 300","")))))</f>
        <v/>
      </c>
      <c r="AF63" s="16">
        <f>IF(OR(AE63="لم يدفع",B63=""),"",IF(OR(AE63="تأمين فقط",X63="FCS",X63="RCS"),0,IF(OR(AE63="اشتراك 300",X63="POLICE",X63="OPOW",X63="DJS"),300,IF(H63&lt;14,1300,1500))))</f>
        <v/>
      </c>
      <c r="AG63" s="16">
        <f>IF(OR(AE63="لم يدفع",B63=""),"",500)</f>
        <v/>
      </c>
      <c r="AH63" s="16">
        <f>IF(OR(AE63="لم يدفع",AE63="تأمين فقط",AE63="اشتراك 300",X63="OPOW",X63="DJS",X63="FCS",X63="RCS",X63="POLICE",B63=""),"",1000)</f>
        <v/>
      </c>
      <c r="AI63" s="17">
        <f>IF(AE63="لم يدفع","",IF(AF63="","",AF63+AG63))</f>
        <v/>
      </c>
      <c r="AJ63" s="18">
        <f>IF(B63="","",IF(AE63="لم يدفع","🔒 مجمدة",IF(Z63="","",IF(Z63&lt;TODAY(),"⛔ منتهي - يتطلب تجديد",IF(Z63-5&lt;=TODAY(),"⚠️ قريب الانتهاء","✅ ساري")))))</f>
        <v/>
      </c>
      <c r="AK63" s="13" t="n"/>
      <c r="AL63" s="13" t="n"/>
      <c r="AM63" s="13" t="n"/>
      <c r="AN63" s="13" t="n"/>
      <c r="AO63" s="14">
        <f>IF(B63="","",IF(AK63&lt;&gt;"","الأحد والأربعاء",IF(AL63&lt;&gt;"","الاثنين والخميس",IF(AM63&lt;&gt;"","الثلاثاء والجمعة",IF(AN63&lt;&gt;"","كل الأيام","")))))</f>
        <v/>
      </c>
      <c r="AP63" s="13" t="n"/>
      <c r="AQ63" s="13" t="n"/>
      <c r="AR63" s="13" t="n"/>
      <c r="AS63" s="13" t="n"/>
      <c r="AT63" s="14">
        <f>IF(B63="","",IF(AP63&lt;&gt;"","09:00-10:00",IF(AQ63&lt;&gt;"","10:00-11:00",IF(AR63&lt;&gt;"","19:00-20:00",IF(AS63&lt;&gt;"","20:00-21:00","")))))</f>
        <v/>
      </c>
      <c r="AU63" s="19">
        <f>IF(B63="","",COUNTA(التجديد!E63:E63))</f>
        <v/>
      </c>
    </row>
    <row r="64" ht="22" customHeight="1">
      <c r="A64" s="10">
        <f>IF(B64="","","RCS "&amp;TEXT(ROW()-2,"000"))</f>
        <v/>
      </c>
      <c r="B64" s="11" t="n"/>
      <c r="C64" s="11" t="n"/>
      <c r="D64" s="12" t="n"/>
      <c r="E64" s="13" t="n"/>
      <c r="F64" s="13" t="n"/>
      <c r="G64" s="14">
        <f>IF(B64="","",IF(E64&lt;&gt;"","ذكر",IF(F64&lt;&gt;"","أنثى","")))</f>
        <v/>
      </c>
      <c r="H64" s="14">
        <f>IF(D64="","",DATEDIF(D64,TODAY(),"Y"))</f>
        <v/>
      </c>
      <c r="I64" s="13" t="n"/>
      <c r="J64" s="13" t="n"/>
      <c r="K64" s="13" t="n"/>
      <c r="L64" s="13" t="n"/>
      <c r="M64" s="13" t="n"/>
      <c r="N64" s="13" t="n"/>
      <c r="O64" s="13" t="n"/>
      <c r="P64" s="13" t="n"/>
      <c r="Q64" s="14">
        <f>IF(B64="","",IF(I64&lt;&gt;"","A+",IF(J64&lt;&gt;"","A-",IF(K64&lt;&gt;"","B+",IF(L64&lt;&gt;"","B-",IF(M64&lt;&gt;"","O+",IF(N64&lt;&gt;"","O-",IF(O64&lt;&gt;"","AB+",IF(P64&lt;&gt;"","AB-",""))))))))</f>
        <v/>
      </c>
      <c r="R64" s="13" t="n"/>
      <c r="S64" s="13" t="n"/>
      <c r="T64" s="13" t="n"/>
      <c r="U64" s="13" t="n"/>
      <c r="V64" s="13" t="n"/>
      <c r="W64" s="13" t="n"/>
      <c r="X64" s="14">
        <f>IF(B64="","",IF(R64&lt;&gt;"","/",IF(S64&lt;&gt;"","OPOW",IF(T64&lt;&gt;"","DJS",IF(U64&lt;&gt;"","FCS",IF(V64&lt;&gt;"","RCS",IF(W64&lt;&gt;"","POLICE","")))))))</f>
        <v/>
      </c>
      <c r="Y64" s="12" t="n"/>
      <c r="Z64" s="15">
        <f>IF(Y64="","",Y64+30)</f>
        <v/>
      </c>
      <c r="AA64" s="13" t="n"/>
      <c r="AB64" s="13" t="n"/>
      <c r="AC64" s="13" t="n"/>
      <c r="AD64" s="13" t="n"/>
      <c r="AE64" s="14">
        <f>IF(B64="","",IF(AA64&lt;&gt;"","مدفوع",IF(AB64&lt;&gt;"","لم يدفع",IF(AC64&lt;&gt;"","تأمين فقط",IF(AD64&lt;&gt;"","اشتراك 300","")))))</f>
        <v/>
      </c>
      <c r="AF64" s="16">
        <f>IF(OR(AE64="لم يدفع",B64=""),"",IF(OR(AE64="تأمين فقط",X64="FCS",X64="RCS"),0,IF(OR(AE64="اشتراك 300",X64="POLICE",X64="OPOW",X64="DJS"),300,IF(H64&lt;14,1300,1500))))</f>
        <v/>
      </c>
      <c r="AG64" s="16">
        <f>IF(OR(AE64="لم يدفع",B64=""),"",500)</f>
        <v/>
      </c>
      <c r="AH64" s="16">
        <f>IF(OR(AE64="لم يدفع",AE64="تأمين فقط",AE64="اشتراك 300",X64="OPOW",X64="DJS",X64="FCS",X64="RCS",X64="POLICE",B64=""),"",1000)</f>
        <v/>
      </c>
      <c r="AI64" s="17">
        <f>IF(AE64="لم يدفع","",IF(AF64="","",AF64+AG64))</f>
        <v/>
      </c>
      <c r="AJ64" s="18">
        <f>IF(B64="","",IF(AE64="لم يدفع","🔒 مجمدة",IF(Z64="","",IF(Z64&lt;TODAY(),"⛔ منتهي - يتطلب تجديد",IF(Z64-5&lt;=TODAY(),"⚠️ قريب الانتهاء","✅ ساري")))))</f>
        <v/>
      </c>
      <c r="AK64" s="13" t="n"/>
      <c r="AL64" s="13" t="n"/>
      <c r="AM64" s="13" t="n"/>
      <c r="AN64" s="13" t="n"/>
      <c r="AO64" s="14">
        <f>IF(B64="","",IF(AK64&lt;&gt;"","الأحد والأربعاء",IF(AL64&lt;&gt;"","الاثنين والخميس",IF(AM64&lt;&gt;"","الثلاثاء والجمعة",IF(AN64&lt;&gt;"","كل الأيام","")))))</f>
        <v/>
      </c>
      <c r="AP64" s="13" t="n"/>
      <c r="AQ64" s="13" t="n"/>
      <c r="AR64" s="13" t="n"/>
      <c r="AS64" s="13" t="n"/>
      <c r="AT64" s="14">
        <f>IF(B64="","",IF(AP64&lt;&gt;"","09:00-10:00",IF(AQ64&lt;&gt;"","10:00-11:00",IF(AR64&lt;&gt;"","19:00-20:00",IF(AS64&lt;&gt;"","20:00-21:00","")))))</f>
        <v/>
      </c>
      <c r="AU64" s="19">
        <f>IF(B64="","",COUNTA(التجديد!E64:E64))</f>
        <v/>
      </c>
    </row>
    <row r="65" ht="22" customHeight="1">
      <c r="A65" s="10">
        <f>IF(B65="","","RCS "&amp;TEXT(ROW()-2,"000"))</f>
        <v/>
      </c>
      <c r="B65" s="11" t="n"/>
      <c r="C65" s="11" t="n"/>
      <c r="D65" s="12" t="n"/>
      <c r="E65" s="13" t="n"/>
      <c r="F65" s="13" t="n"/>
      <c r="G65" s="14">
        <f>IF(B65="","",IF(E65&lt;&gt;"","ذكر",IF(F65&lt;&gt;"","أنثى","")))</f>
        <v/>
      </c>
      <c r="H65" s="14">
        <f>IF(D65="","",DATEDIF(D65,TODAY(),"Y"))</f>
        <v/>
      </c>
      <c r="I65" s="13" t="n"/>
      <c r="J65" s="13" t="n"/>
      <c r="K65" s="13" t="n"/>
      <c r="L65" s="13" t="n"/>
      <c r="M65" s="13" t="n"/>
      <c r="N65" s="13" t="n"/>
      <c r="O65" s="13" t="n"/>
      <c r="P65" s="13" t="n"/>
      <c r="Q65" s="14">
        <f>IF(B65="","",IF(I65&lt;&gt;"","A+",IF(J65&lt;&gt;"","A-",IF(K65&lt;&gt;"","B+",IF(L65&lt;&gt;"","B-",IF(M65&lt;&gt;"","O+",IF(N65&lt;&gt;"","O-",IF(O65&lt;&gt;"","AB+",IF(P65&lt;&gt;"","AB-",""))))))))</f>
        <v/>
      </c>
      <c r="R65" s="13" t="n"/>
      <c r="S65" s="13" t="n"/>
      <c r="T65" s="13" t="n"/>
      <c r="U65" s="13" t="n"/>
      <c r="V65" s="13" t="n"/>
      <c r="W65" s="13" t="n"/>
      <c r="X65" s="14">
        <f>IF(B65="","",IF(R65&lt;&gt;"","/",IF(S65&lt;&gt;"","OPOW",IF(T65&lt;&gt;"","DJS",IF(U65&lt;&gt;"","FCS",IF(V65&lt;&gt;"","RCS",IF(W65&lt;&gt;"","POLICE","")))))))</f>
        <v/>
      </c>
      <c r="Y65" s="12" t="n"/>
      <c r="Z65" s="15">
        <f>IF(Y65="","",Y65+30)</f>
        <v/>
      </c>
      <c r="AA65" s="13" t="n"/>
      <c r="AB65" s="13" t="n"/>
      <c r="AC65" s="13" t="n"/>
      <c r="AD65" s="13" t="n"/>
      <c r="AE65" s="14">
        <f>IF(B65="","",IF(AA65&lt;&gt;"","مدفوع",IF(AB65&lt;&gt;"","لم يدفع",IF(AC65&lt;&gt;"","تأمين فقط",IF(AD65&lt;&gt;"","اشتراك 300","")))))</f>
        <v/>
      </c>
      <c r="AF65" s="16">
        <f>IF(OR(AE65="لم يدفع",B65=""),"",IF(OR(AE65="تأمين فقط",X65="FCS",X65="RCS"),0,IF(OR(AE65="اشتراك 300",X65="POLICE",X65="OPOW",X65="DJS"),300,IF(H65&lt;14,1300,1500))))</f>
        <v/>
      </c>
      <c r="AG65" s="16">
        <f>IF(OR(AE65="لم يدفع",B65=""),"",500)</f>
        <v/>
      </c>
      <c r="AH65" s="16">
        <f>IF(OR(AE65="لم يدفع",AE65="تأمين فقط",AE65="اشتراك 300",X65="OPOW",X65="DJS",X65="FCS",X65="RCS",X65="POLICE",B65=""),"",1000)</f>
        <v/>
      </c>
      <c r="AI65" s="17">
        <f>IF(AE65="لم يدفع","",IF(AF65="","",AF65+AG65))</f>
        <v/>
      </c>
      <c r="AJ65" s="18">
        <f>IF(B65="","",IF(AE65="لم يدفع","🔒 مجمدة",IF(Z65="","",IF(Z65&lt;TODAY(),"⛔ منتهي - يتطلب تجديد",IF(Z65-5&lt;=TODAY(),"⚠️ قريب الانتهاء","✅ ساري")))))</f>
        <v/>
      </c>
      <c r="AK65" s="13" t="n"/>
      <c r="AL65" s="13" t="n"/>
      <c r="AM65" s="13" t="n"/>
      <c r="AN65" s="13" t="n"/>
      <c r="AO65" s="14">
        <f>IF(B65="","",IF(AK65&lt;&gt;"","الأحد والأربعاء",IF(AL65&lt;&gt;"","الاثنين والخميس",IF(AM65&lt;&gt;"","الثلاثاء والجمعة",IF(AN65&lt;&gt;"","كل الأيام","")))))</f>
        <v/>
      </c>
      <c r="AP65" s="13" t="n"/>
      <c r="AQ65" s="13" t="n"/>
      <c r="AR65" s="13" t="n"/>
      <c r="AS65" s="13" t="n"/>
      <c r="AT65" s="14">
        <f>IF(B65="","",IF(AP65&lt;&gt;"","09:00-10:00",IF(AQ65&lt;&gt;"","10:00-11:00",IF(AR65&lt;&gt;"","19:00-20:00",IF(AS65&lt;&gt;"","20:00-21:00","")))))</f>
        <v/>
      </c>
      <c r="AU65" s="19">
        <f>IF(B65="","",COUNTA(التجديد!E65:E65))</f>
        <v/>
      </c>
    </row>
    <row r="66" ht="22" customHeight="1">
      <c r="A66" s="10">
        <f>IF(B66="","","RCS "&amp;TEXT(ROW()-2,"000"))</f>
        <v/>
      </c>
      <c r="B66" s="11" t="n"/>
      <c r="C66" s="11" t="n"/>
      <c r="D66" s="12" t="n"/>
      <c r="E66" s="13" t="n"/>
      <c r="F66" s="13" t="n"/>
      <c r="G66" s="14">
        <f>IF(B66="","",IF(E66&lt;&gt;"","ذكر",IF(F66&lt;&gt;"","أنثى","")))</f>
        <v/>
      </c>
      <c r="H66" s="14">
        <f>IF(D66="","",DATEDIF(D66,TODAY(),"Y"))</f>
        <v/>
      </c>
      <c r="I66" s="13" t="n"/>
      <c r="J66" s="13" t="n"/>
      <c r="K66" s="13" t="n"/>
      <c r="L66" s="13" t="n"/>
      <c r="M66" s="13" t="n"/>
      <c r="N66" s="13" t="n"/>
      <c r="O66" s="13" t="n"/>
      <c r="P66" s="13" t="n"/>
      <c r="Q66" s="14">
        <f>IF(B66="","",IF(I66&lt;&gt;"","A+",IF(J66&lt;&gt;"","A-",IF(K66&lt;&gt;"","B+",IF(L66&lt;&gt;"","B-",IF(M66&lt;&gt;"","O+",IF(N66&lt;&gt;"","O-",IF(O66&lt;&gt;"","AB+",IF(P66&lt;&gt;"","AB-",""))))))))</f>
        <v/>
      </c>
      <c r="R66" s="13" t="n"/>
      <c r="S66" s="13" t="n"/>
      <c r="T66" s="13" t="n"/>
      <c r="U66" s="13" t="n"/>
      <c r="V66" s="13" t="n"/>
      <c r="W66" s="13" t="n"/>
      <c r="X66" s="14">
        <f>IF(B66="","",IF(R66&lt;&gt;"","/",IF(S66&lt;&gt;"","OPOW",IF(T66&lt;&gt;"","DJS",IF(U66&lt;&gt;"","FCS",IF(V66&lt;&gt;"","RCS",IF(W66&lt;&gt;"","POLICE","")))))))</f>
        <v/>
      </c>
      <c r="Y66" s="12" t="n"/>
      <c r="Z66" s="15">
        <f>IF(Y66="","",Y66+30)</f>
        <v/>
      </c>
      <c r="AA66" s="13" t="n"/>
      <c r="AB66" s="13" t="n"/>
      <c r="AC66" s="13" t="n"/>
      <c r="AD66" s="13" t="n"/>
      <c r="AE66" s="14">
        <f>IF(B66="","",IF(AA66&lt;&gt;"","مدفوع",IF(AB66&lt;&gt;"","لم يدفع",IF(AC66&lt;&gt;"","تأمين فقط",IF(AD66&lt;&gt;"","اشتراك 300","")))))</f>
        <v/>
      </c>
      <c r="AF66" s="16">
        <f>IF(OR(AE66="لم يدفع",B66=""),"",IF(OR(AE66="تأمين فقط",X66="FCS",X66="RCS"),0,IF(OR(AE66="اشتراك 300",X66="POLICE",X66="OPOW",X66="DJS"),300,IF(H66&lt;14,1300,1500))))</f>
        <v/>
      </c>
      <c r="AG66" s="16">
        <f>IF(OR(AE66="لم يدفع",B66=""),"",500)</f>
        <v/>
      </c>
      <c r="AH66" s="16">
        <f>IF(OR(AE66="لم يدفع",AE66="تأمين فقط",AE66="اشتراك 300",X66="OPOW",X66="DJS",X66="FCS",X66="RCS",X66="POLICE",B66=""),"",1000)</f>
        <v/>
      </c>
      <c r="AI66" s="17">
        <f>IF(AE66="لم يدفع","",IF(AF66="","",AF66+AG66))</f>
        <v/>
      </c>
      <c r="AJ66" s="18">
        <f>IF(B66="","",IF(AE66="لم يدفع","🔒 مجمدة",IF(Z66="","",IF(Z66&lt;TODAY(),"⛔ منتهي - يتطلب تجديد",IF(Z66-5&lt;=TODAY(),"⚠️ قريب الانتهاء","✅ ساري")))))</f>
        <v/>
      </c>
      <c r="AK66" s="13" t="n"/>
      <c r="AL66" s="13" t="n"/>
      <c r="AM66" s="13" t="n"/>
      <c r="AN66" s="13" t="n"/>
      <c r="AO66" s="14">
        <f>IF(B66="","",IF(AK66&lt;&gt;"","الأحد والأربعاء",IF(AL66&lt;&gt;"","الاثنين والخميس",IF(AM66&lt;&gt;"","الثلاثاء والجمعة",IF(AN66&lt;&gt;"","كل الأيام","")))))</f>
        <v/>
      </c>
      <c r="AP66" s="13" t="n"/>
      <c r="AQ66" s="13" t="n"/>
      <c r="AR66" s="13" t="n"/>
      <c r="AS66" s="13" t="n"/>
      <c r="AT66" s="14">
        <f>IF(B66="","",IF(AP66&lt;&gt;"","09:00-10:00",IF(AQ66&lt;&gt;"","10:00-11:00",IF(AR66&lt;&gt;"","19:00-20:00",IF(AS66&lt;&gt;"","20:00-21:00","")))))</f>
        <v/>
      </c>
      <c r="AU66" s="19">
        <f>IF(B66="","",COUNTA(التجديد!E66:E66))</f>
        <v/>
      </c>
    </row>
    <row r="67" ht="22" customHeight="1">
      <c r="A67" s="10">
        <f>IF(B67="","","RCS "&amp;TEXT(ROW()-2,"000"))</f>
        <v/>
      </c>
      <c r="B67" s="11" t="n"/>
      <c r="C67" s="11" t="n"/>
      <c r="D67" s="12" t="n"/>
      <c r="E67" s="13" t="n"/>
      <c r="F67" s="13" t="n"/>
      <c r="G67" s="14">
        <f>IF(B67="","",IF(E67&lt;&gt;"","ذكر",IF(F67&lt;&gt;"","أنثى","")))</f>
        <v/>
      </c>
      <c r="H67" s="14">
        <f>IF(D67="","",DATEDIF(D67,TODAY(),"Y"))</f>
        <v/>
      </c>
      <c r="I67" s="13" t="n"/>
      <c r="J67" s="13" t="n"/>
      <c r="K67" s="13" t="n"/>
      <c r="L67" s="13" t="n"/>
      <c r="M67" s="13" t="n"/>
      <c r="N67" s="13" t="n"/>
      <c r="O67" s="13" t="n"/>
      <c r="P67" s="13" t="n"/>
      <c r="Q67" s="14">
        <f>IF(B67="","",IF(I67&lt;&gt;"","A+",IF(J67&lt;&gt;"","A-",IF(K67&lt;&gt;"","B+",IF(L67&lt;&gt;"","B-",IF(M67&lt;&gt;"","O+",IF(N67&lt;&gt;"","O-",IF(O67&lt;&gt;"","AB+",IF(P67&lt;&gt;"","AB-",""))))))))</f>
        <v/>
      </c>
      <c r="R67" s="13" t="n"/>
      <c r="S67" s="13" t="n"/>
      <c r="T67" s="13" t="n"/>
      <c r="U67" s="13" t="n"/>
      <c r="V67" s="13" t="n"/>
      <c r="W67" s="13" t="n"/>
      <c r="X67" s="14">
        <f>IF(B67="","",IF(R67&lt;&gt;"","/",IF(S67&lt;&gt;"","OPOW",IF(T67&lt;&gt;"","DJS",IF(U67&lt;&gt;"","FCS",IF(V67&lt;&gt;"","RCS",IF(W67&lt;&gt;"","POLICE","")))))))</f>
        <v/>
      </c>
      <c r="Y67" s="12" t="n"/>
      <c r="Z67" s="15">
        <f>IF(Y67="","",Y67+30)</f>
        <v/>
      </c>
      <c r="AA67" s="13" t="n"/>
      <c r="AB67" s="13" t="n"/>
      <c r="AC67" s="13" t="n"/>
      <c r="AD67" s="13" t="n"/>
      <c r="AE67" s="14">
        <f>IF(B67="","",IF(AA67&lt;&gt;"","مدفوع",IF(AB67&lt;&gt;"","لم يدفع",IF(AC67&lt;&gt;"","تأمين فقط",IF(AD67&lt;&gt;"","اشتراك 300","")))))</f>
        <v/>
      </c>
      <c r="AF67" s="16">
        <f>IF(OR(AE67="لم يدفع",B67=""),"",IF(OR(AE67="تأمين فقط",X67="FCS",X67="RCS"),0,IF(OR(AE67="اشتراك 300",X67="POLICE",X67="OPOW",X67="DJS"),300,IF(H67&lt;14,1300,1500))))</f>
        <v/>
      </c>
      <c r="AG67" s="16">
        <f>IF(OR(AE67="لم يدفع",B67=""),"",500)</f>
        <v/>
      </c>
      <c r="AH67" s="16">
        <f>IF(OR(AE67="لم يدفع",AE67="تأمين فقط",AE67="اشتراك 300",X67="OPOW",X67="DJS",X67="FCS",X67="RCS",X67="POLICE",B67=""),"",1000)</f>
        <v/>
      </c>
      <c r="AI67" s="17">
        <f>IF(AE67="لم يدفع","",IF(AF67="","",AF67+AG67))</f>
        <v/>
      </c>
      <c r="AJ67" s="18">
        <f>IF(B67="","",IF(AE67="لم يدفع","🔒 مجمدة",IF(Z67="","",IF(Z67&lt;TODAY(),"⛔ منتهي - يتطلب تجديد",IF(Z67-5&lt;=TODAY(),"⚠️ قريب الانتهاء","✅ ساري")))))</f>
        <v/>
      </c>
      <c r="AK67" s="13" t="n"/>
      <c r="AL67" s="13" t="n"/>
      <c r="AM67" s="13" t="n"/>
      <c r="AN67" s="13" t="n"/>
      <c r="AO67" s="14">
        <f>IF(B67="","",IF(AK67&lt;&gt;"","الأحد والأربعاء",IF(AL67&lt;&gt;"","الاثنين والخميس",IF(AM67&lt;&gt;"","الثلاثاء والجمعة",IF(AN67&lt;&gt;"","كل الأيام","")))))</f>
        <v/>
      </c>
      <c r="AP67" s="13" t="n"/>
      <c r="AQ67" s="13" t="n"/>
      <c r="AR67" s="13" t="n"/>
      <c r="AS67" s="13" t="n"/>
      <c r="AT67" s="14">
        <f>IF(B67="","",IF(AP67&lt;&gt;"","09:00-10:00",IF(AQ67&lt;&gt;"","10:00-11:00",IF(AR67&lt;&gt;"","19:00-20:00",IF(AS67&lt;&gt;"","20:00-21:00","")))))</f>
        <v/>
      </c>
      <c r="AU67" s="19">
        <f>IF(B67="","",COUNTA(التجديد!E67:E67))</f>
        <v/>
      </c>
    </row>
    <row r="68" ht="22" customHeight="1">
      <c r="A68" s="10">
        <f>IF(B68="","","RCS "&amp;TEXT(ROW()-2,"000"))</f>
        <v/>
      </c>
      <c r="B68" s="11" t="n"/>
      <c r="C68" s="11" t="n"/>
      <c r="D68" s="12" t="n"/>
      <c r="E68" s="13" t="n"/>
      <c r="F68" s="13" t="n"/>
      <c r="G68" s="14">
        <f>IF(B68="","",IF(E68&lt;&gt;"","ذكر",IF(F68&lt;&gt;"","أنثى","")))</f>
        <v/>
      </c>
      <c r="H68" s="14">
        <f>IF(D68="","",DATEDIF(D68,TODAY(),"Y"))</f>
        <v/>
      </c>
      <c r="I68" s="13" t="n"/>
      <c r="J68" s="13" t="n"/>
      <c r="K68" s="13" t="n"/>
      <c r="L68" s="13" t="n"/>
      <c r="M68" s="13" t="n"/>
      <c r="N68" s="13" t="n"/>
      <c r="O68" s="13" t="n"/>
      <c r="P68" s="13" t="n"/>
      <c r="Q68" s="14">
        <f>IF(B68="","",IF(I68&lt;&gt;"","A+",IF(J68&lt;&gt;"","A-",IF(K68&lt;&gt;"","B+",IF(L68&lt;&gt;"","B-",IF(M68&lt;&gt;"","O+",IF(N68&lt;&gt;"","O-",IF(O68&lt;&gt;"","AB+",IF(P68&lt;&gt;"","AB-",""))))))))</f>
        <v/>
      </c>
      <c r="R68" s="13" t="n"/>
      <c r="S68" s="13" t="n"/>
      <c r="T68" s="13" t="n"/>
      <c r="U68" s="13" t="n"/>
      <c r="V68" s="13" t="n"/>
      <c r="W68" s="13" t="n"/>
      <c r="X68" s="14">
        <f>IF(B68="","",IF(R68&lt;&gt;"","/",IF(S68&lt;&gt;"","OPOW",IF(T68&lt;&gt;"","DJS",IF(U68&lt;&gt;"","FCS",IF(V68&lt;&gt;"","RCS",IF(W68&lt;&gt;"","POLICE","")))))))</f>
        <v/>
      </c>
      <c r="Y68" s="12" t="n"/>
      <c r="Z68" s="15">
        <f>IF(Y68="","",Y68+30)</f>
        <v/>
      </c>
      <c r="AA68" s="13" t="n"/>
      <c r="AB68" s="13" t="n"/>
      <c r="AC68" s="13" t="n"/>
      <c r="AD68" s="13" t="n"/>
      <c r="AE68" s="14">
        <f>IF(B68="","",IF(AA68&lt;&gt;"","مدفوع",IF(AB68&lt;&gt;"","لم يدفع",IF(AC68&lt;&gt;"","تأمين فقط",IF(AD68&lt;&gt;"","اشتراك 300","")))))</f>
        <v/>
      </c>
      <c r="AF68" s="16">
        <f>IF(OR(AE68="لم يدفع",B68=""),"",IF(OR(AE68="تأمين فقط",X68="FCS",X68="RCS"),0,IF(OR(AE68="اشتراك 300",X68="POLICE",X68="OPOW",X68="DJS"),300,IF(H68&lt;14,1300,1500))))</f>
        <v/>
      </c>
      <c r="AG68" s="16">
        <f>IF(OR(AE68="لم يدفع",B68=""),"",500)</f>
        <v/>
      </c>
      <c r="AH68" s="16">
        <f>IF(OR(AE68="لم يدفع",AE68="تأمين فقط",AE68="اشتراك 300",X68="OPOW",X68="DJS",X68="FCS",X68="RCS",X68="POLICE",B68=""),"",1000)</f>
        <v/>
      </c>
      <c r="AI68" s="17">
        <f>IF(AE68="لم يدفع","",IF(AF68="","",AF68+AG68))</f>
        <v/>
      </c>
      <c r="AJ68" s="18">
        <f>IF(B68="","",IF(AE68="لم يدفع","🔒 مجمدة",IF(Z68="","",IF(Z68&lt;TODAY(),"⛔ منتهي - يتطلب تجديد",IF(Z68-5&lt;=TODAY(),"⚠️ قريب الانتهاء","✅ ساري")))))</f>
        <v/>
      </c>
      <c r="AK68" s="13" t="n"/>
      <c r="AL68" s="13" t="n"/>
      <c r="AM68" s="13" t="n"/>
      <c r="AN68" s="13" t="n"/>
      <c r="AO68" s="14">
        <f>IF(B68="","",IF(AK68&lt;&gt;"","الأحد والأربعاء",IF(AL68&lt;&gt;"","الاثنين والخميس",IF(AM68&lt;&gt;"","الثلاثاء والجمعة",IF(AN68&lt;&gt;"","كل الأيام","")))))</f>
        <v/>
      </c>
      <c r="AP68" s="13" t="n"/>
      <c r="AQ68" s="13" t="n"/>
      <c r="AR68" s="13" t="n"/>
      <c r="AS68" s="13" t="n"/>
      <c r="AT68" s="14">
        <f>IF(B68="","",IF(AP68&lt;&gt;"","09:00-10:00",IF(AQ68&lt;&gt;"","10:00-11:00",IF(AR68&lt;&gt;"","19:00-20:00",IF(AS68&lt;&gt;"","20:00-21:00","")))))</f>
        <v/>
      </c>
      <c r="AU68" s="19">
        <f>IF(B68="","",COUNTA(التجديد!E68:E68))</f>
        <v/>
      </c>
    </row>
    <row r="69" ht="22" customHeight="1">
      <c r="A69" s="10">
        <f>IF(B69="","","RCS "&amp;TEXT(ROW()-2,"000"))</f>
        <v/>
      </c>
      <c r="B69" s="11" t="n"/>
      <c r="C69" s="11" t="n"/>
      <c r="D69" s="12" t="n"/>
      <c r="E69" s="13" t="n"/>
      <c r="F69" s="13" t="n"/>
      <c r="G69" s="14">
        <f>IF(B69="","",IF(E69&lt;&gt;"","ذكر",IF(F69&lt;&gt;"","أنثى","")))</f>
        <v/>
      </c>
      <c r="H69" s="14">
        <f>IF(D69="","",DATEDIF(D69,TODAY(),"Y"))</f>
        <v/>
      </c>
      <c r="I69" s="13" t="n"/>
      <c r="J69" s="13" t="n"/>
      <c r="K69" s="13" t="n"/>
      <c r="L69" s="13" t="n"/>
      <c r="M69" s="13" t="n"/>
      <c r="N69" s="13" t="n"/>
      <c r="O69" s="13" t="n"/>
      <c r="P69" s="13" t="n"/>
      <c r="Q69" s="14">
        <f>IF(B69="","",IF(I69&lt;&gt;"","A+",IF(J69&lt;&gt;"","A-",IF(K69&lt;&gt;"","B+",IF(L69&lt;&gt;"","B-",IF(M69&lt;&gt;"","O+",IF(N69&lt;&gt;"","O-",IF(O69&lt;&gt;"","AB+",IF(P69&lt;&gt;"","AB-",""))))))))</f>
        <v/>
      </c>
      <c r="R69" s="13" t="n"/>
      <c r="S69" s="13" t="n"/>
      <c r="T69" s="13" t="n"/>
      <c r="U69" s="13" t="n"/>
      <c r="V69" s="13" t="n"/>
      <c r="W69" s="13" t="n"/>
      <c r="X69" s="14">
        <f>IF(B69="","",IF(R69&lt;&gt;"","/",IF(S69&lt;&gt;"","OPOW",IF(T69&lt;&gt;"","DJS",IF(U69&lt;&gt;"","FCS",IF(V69&lt;&gt;"","RCS",IF(W69&lt;&gt;"","POLICE","")))))))</f>
        <v/>
      </c>
      <c r="Y69" s="12" t="n"/>
      <c r="Z69" s="15">
        <f>IF(Y69="","",Y69+30)</f>
        <v/>
      </c>
      <c r="AA69" s="13" t="n"/>
      <c r="AB69" s="13" t="n"/>
      <c r="AC69" s="13" t="n"/>
      <c r="AD69" s="13" t="n"/>
      <c r="AE69" s="14">
        <f>IF(B69="","",IF(AA69&lt;&gt;"","مدفوع",IF(AB69&lt;&gt;"","لم يدفع",IF(AC69&lt;&gt;"","تأمين فقط",IF(AD69&lt;&gt;"","اشتراك 300","")))))</f>
        <v/>
      </c>
      <c r="AF69" s="16">
        <f>IF(OR(AE69="لم يدفع",B69=""),"",IF(OR(AE69="تأمين فقط",X69="FCS",X69="RCS"),0,IF(OR(AE69="اشتراك 300",X69="POLICE",X69="OPOW",X69="DJS"),300,IF(H69&lt;14,1300,1500))))</f>
        <v/>
      </c>
      <c r="AG69" s="16">
        <f>IF(OR(AE69="لم يدفع",B69=""),"",500)</f>
        <v/>
      </c>
      <c r="AH69" s="16">
        <f>IF(OR(AE69="لم يدفع",AE69="تأمين فقط",AE69="اشتراك 300",X69="OPOW",X69="DJS",X69="FCS",X69="RCS",X69="POLICE",B69=""),"",1000)</f>
        <v/>
      </c>
      <c r="AI69" s="17">
        <f>IF(AE69="لم يدفع","",IF(AF69="","",AF69+AG69))</f>
        <v/>
      </c>
      <c r="AJ69" s="18">
        <f>IF(B69="","",IF(AE69="لم يدفع","🔒 مجمدة",IF(Z69="","",IF(Z69&lt;TODAY(),"⛔ منتهي - يتطلب تجديد",IF(Z69-5&lt;=TODAY(),"⚠️ قريب الانتهاء","✅ ساري")))))</f>
        <v/>
      </c>
      <c r="AK69" s="13" t="n"/>
      <c r="AL69" s="13" t="n"/>
      <c r="AM69" s="13" t="n"/>
      <c r="AN69" s="13" t="n"/>
      <c r="AO69" s="14">
        <f>IF(B69="","",IF(AK69&lt;&gt;"","الأحد والأربعاء",IF(AL69&lt;&gt;"","الاثنين والخميس",IF(AM69&lt;&gt;"","الثلاثاء والجمعة",IF(AN69&lt;&gt;"","كل الأيام","")))))</f>
        <v/>
      </c>
      <c r="AP69" s="13" t="n"/>
      <c r="AQ69" s="13" t="n"/>
      <c r="AR69" s="13" t="n"/>
      <c r="AS69" s="13" t="n"/>
      <c r="AT69" s="14">
        <f>IF(B69="","",IF(AP69&lt;&gt;"","09:00-10:00",IF(AQ69&lt;&gt;"","10:00-11:00",IF(AR69&lt;&gt;"","19:00-20:00",IF(AS69&lt;&gt;"","20:00-21:00","")))))</f>
        <v/>
      </c>
      <c r="AU69" s="19">
        <f>IF(B69="","",COUNTA(التجديد!E69:E69))</f>
        <v/>
      </c>
    </row>
    <row r="70" ht="22" customHeight="1">
      <c r="A70" s="10">
        <f>IF(B70="","","RCS "&amp;TEXT(ROW()-2,"000"))</f>
        <v/>
      </c>
      <c r="B70" s="11" t="n"/>
      <c r="C70" s="11" t="n"/>
      <c r="D70" s="12" t="n"/>
      <c r="E70" s="13" t="n"/>
      <c r="F70" s="13" t="n"/>
      <c r="G70" s="14">
        <f>IF(B70="","",IF(E70&lt;&gt;"","ذكر",IF(F70&lt;&gt;"","أنثى","")))</f>
        <v/>
      </c>
      <c r="H70" s="14">
        <f>IF(D70="","",DATEDIF(D70,TODAY(),"Y"))</f>
        <v/>
      </c>
      <c r="I70" s="13" t="n"/>
      <c r="J70" s="13" t="n"/>
      <c r="K70" s="13" t="n"/>
      <c r="L70" s="13" t="n"/>
      <c r="M70" s="13" t="n"/>
      <c r="N70" s="13" t="n"/>
      <c r="O70" s="13" t="n"/>
      <c r="P70" s="13" t="n"/>
      <c r="Q70" s="14">
        <f>IF(B70="","",IF(I70&lt;&gt;"","A+",IF(J70&lt;&gt;"","A-",IF(K70&lt;&gt;"","B+",IF(L70&lt;&gt;"","B-",IF(M70&lt;&gt;"","O+",IF(N70&lt;&gt;"","O-",IF(O70&lt;&gt;"","AB+",IF(P70&lt;&gt;"","AB-",""))))))))</f>
        <v/>
      </c>
      <c r="R70" s="13" t="n"/>
      <c r="S70" s="13" t="n"/>
      <c r="T70" s="13" t="n"/>
      <c r="U70" s="13" t="n"/>
      <c r="V70" s="13" t="n"/>
      <c r="W70" s="13" t="n"/>
      <c r="X70" s="14">
        <f>IF(B70="","",IF(R70&lt;&gt;"","/",IF(S70&lt;&gt;"","OPOW",IF(T70&lt;&gt;"","DJS",IF(U70&lt;&gt;"","FCS",IF(V70&lt;&gt;"","RCS",IF(W70&lt;&gt;"","POLICE","")))))))</f>
        <v/>
      </c>
      <c r="Y70" s="12" t="n"/>
      <c r="Z70" s="15">
        <f>IF(Y70="","",Y70+30)</f>
        <v/>
      </c>
      <c r="AA70" s="13" t="n"/>
      <c r="AB70" s="13" t="n"/>
      <c r="AC70" s="13" t="n"/>
      <c r="AD70" s="13" t="n"/>
      <c r="AE70" s="14">
        <f>IF(B70="","",IF(AA70&lt;&gt;"","مدفوع",IF(AB70&lt;&gt;"","لم يدفع",IF(AC70&lt;&gt;"","تأمين فقط",IF(AD70&lt;&gt;"","اشتراك 300","")))))</f>
        <v/>
      </c>
      <c r="AF70" s="16">
        <f>IF(OR(AE70="لم يدفع",B70=""),"",IF(OR(AE70="تأمين فقط",X70="FCS",X70="RCS"),0,IF(OR(AE70="اشتراك 300",X70="POLICE",X70="OPOW",X70="DJS"),300,IF(H70&lt;14,1300,1500))))</f>
        <v/>
      </c>
      <c r="AG70" s="16">
        <f>IF(OR(AE70="لم يدفع",B70=""),"",500)</f>
        <v/>
      </c>
      <c r="AH70" s="16">
        <f>IF(OR(AE70="لم يدفع",AE70="تأمين فقط",AE70="اشتراك 300",X70="OPOW",X70="DJS",X70="FCS",X70="RCS",X70="POLICE",B70=""),"",1000)</f>
        <v/>
      </c>
      <c r="AI70" s="17">
        <f>IF(AE70="لم يدفع","",IF(AF70="","",AF70+AG70))</f>
        <v/>
      </c>
      <c r="AJ70" s="18">
        <f>IF(B70="","",IF(AE70="لم يدفع","🔒 مجمدة",IF(Z70="","",IF(Z70&lt;TODAY(),"⛔ منتهي - يتطلب تجديد",IF(Z70-5&lt;=TODAY(),"⚠️ قريب الانتهاء","✅ ساري")))))</f>
        <v/>
      </c>
      <c r="AK70" s="13" t="n"/>
      <c r="AL70" s="13" t="n"/>
      <c r="AM70" s="13" t="n"/>
      <c r="AN70" s="13" t="n"/>
      <c r="AO70" s="14">
        <f>IF(B70="","",IF(AK70&lt;&gt;"","الأحد والأربعاء",IF(AL70&lt;&gt;"","الاثنين والخميس",IF(AM70&lt;&gt;"","الثلاثاء والجمعة",IF(AN70&lt;&gt;"","كل الأيام","")))))</f>
        <v/>
      </c>
      <c r="AP70" s="13" t="n"/>
      <c r="AQ70" s="13" t="n"/>
      <c r="AR70" s="13" t="n"/>
      <c r="AS70" s="13" t="n"/>
      <c r="AT70" s="14">
        <f>IF(B70="","",IF(AP70&lt;&gt;"","09:00-10:00",IF(AQ70&lt;&gt;"","10:00-11:00",IF(AR70&lt;&gt;"","19:00-20:00",IF(AS70&lt;&gt;"","20:00-21:00","")))))</f>
        <v/>
      </c>
      <c r="AU70" s="19">
        <f>IF(B70="","",COUNTA(التجديد!E70:E70))</f>
        <v/>
      </c>
    </row>
    <row r="71" ht="22" customHeight="1">
      <c r="A71" s="10">
        <f>IF(B71="","","RCS "&amp;TEXT(ROW()-2,"000"))</f>
        <v/>
      </c>
      <c r="B71" s="11" t="n"/>
      <c r="C71" s="11" t="n"/>
      <c r="D71" s="12" t="n"/>
      <c r="E71" s="13" t="n"/>
      <c r="F71" s="13" t="n"/>
      <c r="G71" s="14">
        <f>IF(B71="","",IF(E71&lt;&gt;"","ذكر",IF(F71&lt;&gt;"","أنثى","")))</f>
        <v/>
      </c>
      <c r="H71" s="14">
        <f>IF(D71="","",DATEDIF(D71,TODAY(),"Y"))</f>
        <v/>
      </c>
      <c r="I71" s="13" t="n"/>
      <c r="J71" s="13" t="n"/>
      <c r="K71" s="13" t="n"/>
      <c r="L71" s="13" t="n"/>
      <c r="M71" s="13" t="n"/>
      <c r="N71" s="13" t="n"/>
      <c r="O71" s="13" t="n"/>
      <c r="P71" s="13" t="n"/>
      <c r="Q71" s="14">
        <f>IF(B71="","",IF(I71&lt;&gt;"","A+",IF(J71&lt;&gt;"","A-",IF(K71&lt;&gt;"","B+",IF(L71&lt;&gt;"","B-",IF(M71&lt;&gt;"","O+",IF(N71&lt;&gt;"","O-",IF(O71&lt;&gt;"","AB+",IF(P71&lt;&gt;"","AB-",""))))))))</f>
        <v/>
      </c>
      <c r="R71" s="13" t="n"/>
      <c r="S71" s="13" t="n"/>
      <c r="T71" s="13" t="n"/>
      <c r="U71" s="13" t="n"/>
      <c r="V71" s="13" t="n"/>
      <c r="W71" s="13" t="n"/>
      <c r="X71" s="14">
        <f>IF(B71="","",IF(R71&lt;&gt;"","/",IF(S71&lt;&gt;"","OPOW",IF(T71&lt;&gt;"","DJS",IF(U71&lt;&gt;"","FCS",IF(V71&lt;&gt;"","RCS",IF(W71&lt;&gt;"","POLICE","")))))))</f>
        <v/>
      </c>
      <c r="Y71" s="12" t="n"/>
      <c r="Z71" s="15">
        <f>IF(Y71="","",Y71+30)</f>
        <v/>
      </c>
      <c r="AA71" s="13" t="n"/>
      <c r="AB71" s="13" t="n"/>
      <c r="AC71" s="13" t="n"/>
      <c r="AD71" s="13" t="n"/>
      <c r="AE71" s="14">
        <f>IF(B71="","",IF(AA71&lt;&gt;"","مدفوع",IF(AB71&lt;&gt;"","لم يدفع",IF(AC71&lt;&gt;"","تأمين فقط",IF(AD71&lt;&gt;"","اشتراك 300","")))))</f>
        <v/>
      </c>
      <c r="AF71" s="16">
        <f>IF(OR(AE71="لم يدفع",B71=""),"",IF(OR(AE71="تأمين فقط",X71="FCS",X71="RCS"),0,IF(OR(AE71="اشتراك 300",X71="POLICE",X71="OPOW",X71="DJS"),300,IF(H71&lt;14,1300,1500))))</f>
        <v/>
      </c>
      <c r="AG71" s="16">
        <f>IF(OR(AE71="لم يدفع",B71=""),"",500)</f>
        <v/>
      </c>
      <c r="AH71" s="16">
        <f>IF(OR(AE71="لم يدفع",AE71="تأمين فقط",AE71="اشتراك 300",X71="OPOW",X71="DJS",X71="FCS",X71="RCS",X71="POLICE",B71=""),"",1000)</f>
        <v/>
      </c>
      <c r="AI71" s="17">
        <f>IF(AE71="لم يدفع","",IF(AF71="","",AF71+AG71))</f>
        <v/>
      </c>
      <c r="AJ71" s="18">
        <f>IF(B71="","",IF(AE71="لم يدفع","🔒 مجمدة",IF(Z71="","",IF(Z71&lt;TODAY(),"⛔ منتهي - يتطلب تجديد",IF(Z71-5&lt;=TODAY(),"⚠️ قريب الانتهاء","✅ ساري")))))</f>
        <v/>
      </c>
      <c r="AK71" s="13" t="n"/>
      <c r="AL71" s="13" t="n"/>
      <c r="AM71" s="13" t="n"/>
      <c r="AN71" s="13" t="n"/>
      <c r="AO71" s="14">
        <f>IF(B71="","",IF(AK71&lt;&gt;"","الأحد والأربعاء",IF(AL71&lt;&gt;"","الاثنين والخميس",IF(AM71&lt;&gt;"","الثلاثاء والجمعة",IF(AN71&lt;&gt;"","كل الأيام","")))))</f>
        <v/>
      </c>
      <c r="AP71" s="13" t="n"/>
      <c r="AQ71" s="13" t="n"/>
      <c r="AR71" s="13" t="n"/>
      <c r="AS71" s="13" t="n"/>
      <c r="AT71" s="14">
        <f>IF(B71="","",IF(AP71&lt;&gt;"","09:00-10:00",IF(AQ71&lt;&gt;"","10:00-11:00",IF(AR71&lt;&gt;"","19:00-20:00",IF(AS71&lt;&gt;"","20:00-21:00","")))))</f>
        <v/>
      </c>
      <c r="AU71" s="19">
        <f>IF(B71="","",COUNTA(التجديد!E71:E71))</f>
        <v/>
      </c>
    </row>
    <row r="72" ht="22" customHeight="1">
      <c r="A72" s="10">
        <f>IF(B72="","","RCS "&amp;TEXT(ROW()-2,"000"))</f>
        <v/>
      </c>
      <c r="B72" s="11" t="n"/>
      <c r="C72" s="11" t="n"/>
      <c r="D72" s="12" t="n"/>
      <c r="E72" s="13" t="n"/>
      <c r="F72" s="13" t="n"/>
      <c r="G72" s="14">
        <f>IF(B72="","",IF(E72&lt;&gt;"","ذكر",IF(F72&lt;&gt;"","أنثى","")))</f>
        <v/>
      </c>
      <c r="H72" s="14">
        <f>IF(D72="","",DATEDIF(D72,TODAY(),"Y"))</f>
        <v/>
      </c>
      <c r="I72" s="13" t="n"/>
      <c r="J72" s="13" t="n"/>
      <c r="K72" s="13" t="n"/>
      <c r="L72" s="13" t="n"/>
      <c r="M72" s="13" t="n"/>
      <c r="N72" s="13" t="n"/>
      <c r="O72" s="13" t="n"/>
      <c r="P72" s="13" t="n"/>
      <c r="Q72" s="14">
        <f>IF(B72="","",IF(I72&lt;&gt;"","A+",IF(J72&lt;&gt;"","A-",IF(K72&lt;&gt;"","B+",IF(L72&lt;&gt;"","B-",IF(M72&lt;&gt;"","O+",IF(N72&lt;&gt;"","O-",IF(O72&lt;&gt;"","AB+",IF(P72&lt;&gt;"","AB-",""))))))))</f>
        <v/>
      </c>
      <c r="R72" s="13" t="n"/>
      <c r="S72" s="13" t="n"/>
      <c r="T72" s="13" t="n"/>
      <c r="U72" s="13" t="n"/>
      <c r="V72" s="13" t="n"/>
      <c r="W72" s="13" t="n"/>
      <c r="X72" s="14">
        <f>IF(B72="","",IF(R72&lt;&gt;"","/",IF(S72&lt;&gt;"","OPOW",IF(T72&lt;&gt;"","DJS",IF(U72&lt;&gt;"","FCS",IF(V72&lt;&gt;"","RCS",IF(W72&lt;&gt;"","POLICE","")))))))</f>
        <v/>
      </c>
      <c r="Y72" s="12" t="n"/>
      <c r="Z72" s="15">
        <f>IF(Y72="","",Y72+30)</f>
        <v/>
      </c>
      <c r="AA72" s="13" t="n"/>
      <c r="AB72" s="13" t="n"/>
      <c r="AC72" s="13" t="n"/>
      <c r="AD72" s="13" t="n"/>
      <c r="AE72" s="14">
        <f>IF(B72="","",IF(AA72&lt;&gt;"","مدفوع",IF(AB72&lt;&gt;"","لم يدفع",IF(AC72&lt;&gt;"","تأمين فقط",IF(AD72&lt;&gt;"","اشتراك 300","")))))</f>
        <v/>
      </c>
      <c r="AF72" s="16">
        <f>IF(OR(AE72="لم يدفع",B72=""),"",IF(OR(AE72="تأمين فقط",X72="FCS",X72="RCS"),0,IF(OR(AE72="اشتراك 300",X72="POLICE",X72="OPOW",X72="DJS"),300,IF(H72&lt;14,1300,1500))))</f>
        <v/>
      </c>
      <c r="AG72" s="16">
        <f>IF(OR(AE72="لم يدفع",B72=""),"",500)</f>
        <v/>
      </c>
      <c r="AH72" s="16">
        <f>IF(OR(AE72="لم يدفع",AE72="تأمين فقط",AE72="اشتراك 300",X72="OPOW",X72="DJS",X72="FCS",X72="RCS",X72="POLICE",B72=""),"",1000)</f>
        <v/>
      </c>
      <c r="AI72" s="17">
        <f>IF(AE72="لم يدفع","",IF(AF72="","",AF72+AG72))</f>
        <v/>
      </c>
      <c r="AJ72" s="18">
        <f>IF(B72="","",IF(AE72="لم يدفع","🔒 مجمدة",IF(Z72="","",IF(Z72&lt;TODAY(),"⛔ منتهي - يتطلب تجديد",IF(Z72-5&lt;=TODAY(),"⚠️ قريب الانتهاء","✅ ساري")))))</f>
        <v/>
      </c>
      <c r="AK72" s="13" t="n"/>
      <c r="AL72" s="13" t="n"/>
      <c r="AM72" s="13" t="n"/>
      <c r="AN72" s="13" t="n"/>
      <c r="AO72" s="14">
        <f>IF(B72="","",IF(AK72&lt;&gt;"","الأحد والأربعاء",IF(AL72&lt;&gt;"","الاثنين والخميس",IF(AM72&lt;&gt;"","الثلاثاء والجمعة",IF(AN72&lt;&gt;"","كل الأيام","")))))</f>
        <v/>
      </c>
      <c r="AP72" s="13" t="n"/>
      <c r="AQ72" s="13" t="n"/>
      <c r="AR72" s="13" t="n"/>
      <c r="AS72" s="13" t="n"/>
      <c r="AT72" s="14">
        <f>IF(B72="","",IF(AP72&lt;&gt;"","09:00-10:00",IF(AQ72&lt;&gt;"","10:00-11:00",IF(AR72&lt;&gt;"","19:00-20:00",IF(AS72&lt;&gt;"","20:00-21:00","")))))</f>
        <v/>
      </c>
      <c r="AU72" s="19">
        <f>IF(B72="","",COUNTA(التجديد!E72:E72))</f>
        <v/>
      </c>
    </row>
    <row r="73" ht="22" customHeight="1">
      <c r="A73" s="10">
        <f>IF(B73="","","RCS "&amp;TEXT(ROW()-2,"000"))</f>
        <v/>
      </c>
      <c r="B73" s="11" t="n"/>
      <c r="C73" s="11" t="n"/>
      <c r="D73" s="12" t="n"/>
      <c r="E73" s="13" t="n"/>
      <c r="F73" s="13" t="n"/>
      <c r="G73" s="14">
        <f>IF(B73="","",IF(E73&lt;&gt;"","ذكر",IF(F73&lt;&gt;"","أنثى","")))</f>
        <v/>
      </c>
      <c r="H73" s="14">
        <f>IF(D73="","",DATEDIF(D73,TODAY(),"Y"))</f>
        <v/>
      </c>
      <c r="I73" s="13" t="n"/>
      <c r="J73" s="13" t="n"/>
      <c r="K73" s="13" t="n"/>
      <c r="L73" s="13" t="n"/>
      <c r="M73" s="13" t="n"/>
      <c r="N73" s="13" t="n"/>
      <c r="O73" s="13" t="n"/>
      <c r="P73" s="13" t="n"/>
      <c r="Q73" s="14">
        <f>IF(B73="","",IF(I73&lt;&gt;"","A+",IF(J73&lt;&gt;"","A-",IF(K73&lt;&gt;"","B+",IF(L73&lt;&gt;"","B-",IF(M73&lt;&gt;"","O+",IF(N73&lt;&gt;"","O-",IF(O73&lt;&gt;"","AB+",IF(P73&lt;&gt;"","AB-",""))))))))</f>
        <v/>
      </c>
      <c r="R73" s="13" t="n"/>
      <c r="S73" s="13" t="n"/>
      <c r="T73" s="13" t="n"/>
      <c r="U73" s="13" t="n"/>
      <c r="V73" s="13" t="n"/>
      <c r="W73" s="13" t="n"/>
      <c r="X73" s="14">
        <f>IF(B73="","",IF(R73&lt;&gt;"","/",IF(S73&lt;&gt;"","OPOW",IF(T73&lt;&gt;"","DJS",IF(U73&lt;&gt;"","FCS",IF(V73&lt;&gt;"","RCS",IF(W73&lt;&gt;"","POLICE","")))))))</f>
        <v/>
      </c>
      <c r="Y73" s="12" t="n"/>
      <c r="Z73" s="15">
        <f>IF(Y73="","",Y73+30)</f>
        <v/>
      </c>
      <c r="AA73" s="13" t="n"/>
      <c r="AB73" s="13" t="n"/>
      <c r="AC73" s="13" t="n"/>
      <c r="AD73" s="13" t="n"/>
      <c r="AE73" s="14">
        <f>IF(B73="","",IF(AA73&lt;&gt;"","مدفوع",IF(AB73&lt;&gt;"","لم يدفع",IF(AC73&lt;&gt;"","تأمين فقط",IF(AD73&lt;&gt;"","اشتراك 300","")))))</f>
        <v/>
      </c>
      <c r="AF73" s="16">
        <f>IF(OR(AE73="لم يدفع",B73=""),"",IF(OR(AE73="تأمين فقط",X73="FCS",X73="RCS"),0,IF(OR(AE73="اشتراك 300",X73="POLICE",X73="OPOW",X73="DJS"),300,IF(H73&lt;14,1300,1500))))</f>
        <v/>
      </c>
      <c r="AG73" s="16">
        <f>IF(OR(AE73="لم يدفع",B73=""),"",500)</f>
        <v/>
      </c>
      <c r="AH73" s="16">
        <f>IF(OR(AE73="لم يدفع",AE73="تأمين فقط",AE73="اشتراك 300",X73="OPOW",X73="DJS",X73="FCS",X73="RCS",X73="POLICE",B73=""),"",1000)</f>
        <v/>
      </c>
      <c r="AI73" s="17">
        <f>IF(AE73="لم يدفع","",IF(AF73="","",AF73+AG73))</f>
        <v/>
      </c>
      <c r="AJ73" s="18">
        <f>IF(B73="","",IF(AE73="لم يدفع","🔒 مجمدة",IF(Z73="","",IF(Z73&lt;TODAY(),"⛔ منتهي - يتطلب تجديد",IF(Z73-5&lt;=TODAY(),"⚠️ قريب الانتهاء","✅ ساري")))))</f>
        <v/>
      </c>
      <c r="AK73" s="13" t="n"/>
      <c r="AL73" s="13" t="n"/>
      <c r="AM73" s="13" t="n"/>
      <c r="AN73" s="13" t="n"/>
      <c r="AO73" s="14">
        <f>IF(B73="","",IF(AK73&lt;&gt;"","الأحد والأربعاء",IF(AL73&lt;&gt;"","الاثنين والخميس",IF(AM73&lt;&gt;"","الثلاثاء والجمعة",IF(AN73&lt;&gt;"","كل الأيام","")))))</f>
        <v/>
      </c>
      <c r="AP73" s="13" t="n"/>
      <c r="AQ73" s="13" t="n"/>
      <c r="AR73" s="13" t="n"/>
      <c r="AS73" s="13" t="n"/>
      <c r="AT73" s="14">
        <f>IF(B73="","",IF(AP73&lt;&gt;"","09:00-10:00",IF(AQ73&lt;&gt;"","10:00-11:00",IF(AR73&lt;&gt;"","19:00-20:00",IF(AS73&lt;&gt;"","20:00-21:00","")))))</f>
        <v/>
      </c>
      <c r="AU73" s="19">
        <f>IF(B73="","",COUNTA(التجديد!E73:E73))</f>
        <v/>
      </c>
    </row>
    <row r="74" ht="22" customHeight="1">
      <c r="A74" s="10">
        <f>IF(B74="","","RCS "&amp;TEXT(ROW()-2,"000"))</f>
        <v/>
      </c>
      <c r="B74" s="11" t="n"/>
      <c r="C74" s="11" t="n"/>
      <c r="D74" s="12" t="n"/>
      <c r="E74" s="13" t="n"/>
      <c r="F74" s="13" t="n"/>
      <c r="G74" s="14">
        <f>IF(B74="","",IF(E74&lt;&gt;"","ذكر",IF(F74&lt;&gt;"","أنثى","")))</f>
        <v/>
      </c>
      <c r="H74" s="14">
        <f>IF(D74="","",DATEDIF(D74,TODAY(),"Y"))</f>
        <v/>
      </c>
      <c r="I74" s="13" t="n"/>
      <c r="J74" s="13" t="n"/>
      <c r="K74" s="13" t="n"/>
      <c r="L74" s="13" t="n"/>
      <c r="M74" s="13" t="n"/>
      <c r="N74" s="13" t="n"/>
      <c r="O74" s="13" t="n"/>
      <c r="P74" s="13" t="n"/>
      <c r="Q74" s="14">
        <f>IF(B74="","",IF(I74&lt;&gt;"","A+",IF(J74&lt;&gt;"","A-",IF(K74&lt;&gt;"","B+",IF(L74&lt;&gt;"","B-",IF(M74&lt;&gt;"","O+",IF(N74&lt;&gt;"","O-",IF(O74&lt;&gt;"","AB+",IF(P74&lt;&gt;"","AB-",""))))))))</f>
        <v/>
      </c>
      <c r="R74" s="13" t="n"/>
      <c r="S74" s="13" t="n"/>
      <c r="T74" s="13" t="n"/>
      <c r="U74" s="13" t="n"/>
      <c r="V74" s="13" t="n"/>
      <c r="W74" s="13" t="n"/>
      <c r="X74" s="14">
        <f>IF(B74="","",IF(R74&lt;&gt;"","/",IF(S74&lt;&gt;"","OPOW",IF(T74&lt;&gt;"","DJS",IF(U74&lt;&gt;"","FCS",IF(V74&lt;&gt;"","RCS",IF(W74&lt;&gt;"","POLICE","")))))))</f>
        <v/>
      </c>
      <c r="Y74" s="12" t="n"/>
      <c r="Z74" s="15">
        <f>IF(Y74="","",Y74+30)</f>
        <v/>
      </c>
      <c r="AA74" s="13" t="n"/>
      <c r="AB74" s="13" t="n"/>
      <c r="AC74" s="13" t="n"/>
      <c r="AD74" s="13" t="n"/>
      <c r="AE74" s="14">
        <f>IF(B74="","",IF(AA74&lt;&gt;"","مدفوع",IF(AB74&lt;&gt;"","لم يدفع",IF(AC74&lt;&gt;"","تأمين فقط",IF(AD74&lt;&gt;"","اشتراك 300","")))))</f>
        <v/>
      </c>
      <c r="AF74" s="16">
        <f>IF(OR(AE74="لم يدفع",B74=""),"",IF(OR(AE74="تأمين فقط",X74="FCS",X74="RCS"),0,IF(OR(AE74="اشتراك 300",X74="POLICE",X74="OPOW",X74="DJS"),300,IF(H74&lt;14,1300,1500))))</f>
        <v/>
      </c>
      <c r="AG74" s="16">
        <f>IF(OR(AE74="لم يدفع",B74=""),"",500)</f>
        <v/>
      </c>
      <c r="AH74" s="16">
        <f>IF(OR(AE74="لم يدفع",AE74="تأمين فقط",AE74="اشتراك 300",X74="OPOW",X74="DJS",X74="FCS",X74="RCS",X74="POLICE",B74=""),"",1000)</f>
        <v/>
      </c>
      <c r="AI74" s="17">
        <f>IF(AE74="لم يدفع","",IF(AF74="","",AF74+AG74))</f>
        <v/>
      </c>
      <c r="AJ74" s="18">
        <f>IF(B74="","",IF(AE74="لم يدفع","🔒 مجمدة",IF(Z74="","",IF(Z74&lt;TODAY(),"⛔ منتهي - يتطلب تجديد",IF(Z74-5&lt;=TODAY(),"⚠️ قريب الانتهاء","✅ ساري")))))</f>
        <v/>
      </c>
      <c r="AK74" s="13" t="n"/>
      <c r="AL74" s="13" t="n"/>
      <c r="AM74" s="13" t="n"/>
      <c r="AN74" s="13" t="n"/>
      <c r="AO74" s="14">
        <f>IF(B74="","",IF(AK74&lt;&gt;"","الأحد والأربعاء",IF(AL74&lt;&gt;"","الاثنين والخميس",IF(AM74&lt;&gt;"","الثلاثاء والجمعة",IF(AN74&lt;&gt;"","كل الأيام","")))))</f>
        <v/>
      </c>
      <c r="AP74" s="13" t="n"/>
      <c r="AQ74" s="13" t="n"/>
      <c r="AR74" s="13" t="n"/>
      <c r="AS74" s="13" t="n"/>
      <c r="AT74" s="14">
        <f>IF(B74="","",IF(AP74&lt;&gt;"","09:00-10:00",IF(AQ74&lt;&gt;"","10:00-11:00",IF(AR74&lt;&gt;"","19:00-20:00",IF(AS74&lt;&gt;"","20:00-21:00","")))))</f>
        <v/>
      </c>
      <c r="AU74" s="19">
        <f>IF(B74="","",COUNTA(التجديد!E74:E74))</f>
        <v/>
      </c>
    </row>
    <row r="75" ht="22" customHeight="1">
      <c r="A75" s="10">
        <f>IF(B75="","","RCS "&amp;TEXT(ROW()-2,"000"))</f>
        <v/>
      </c>
      <c r="B75" s="11" t="n"/>
      <c r="C75" s="11" t="n"/>
      <c r="D75" s="12" t="n"/>
      <c r="E75" s="13" t="n"/>
      <c r="F75" s="13" t="n"/>
      <c r="G75" s="14">
        <f>IF(B75="","",IF(E75&lt;&gt;"","ذكر",IF(F75&lt;&gt;"","أنثى","")))</f>
        <v/>
      </c>
      <c r="H75" s="14">
        <f>IF(D75="","",DATEDIF(D75,TODAY(),"Y"))</f>
        <v/>
      </c>
      <c r="I75" s="13" t="n"/>
      <c r="J75" s="13" t="n"/>
      <c r="K75" s="13" t="n"/>
      <c r="L75" s="13" t="n"/>
      <c r="M75" s="13" t="n"/>
      <c r="N75" s="13" t="n"/>
      <c r="O75" s="13" t="n"/>
      <c r="P75" s="13" t="n"/>
      <c r="Q75" s="14">
        <f>IF(B75="","",IF(I75&lt;&gt;"","A+",IF(J75&lt;&gt;"","A-",IF(K75&lt;&gt;"","B+",IF(L75&lt;&gt;"","B-",IF(M75&lt;&gt;"","O+",IF(N75&lt;&gt;"","O-",IF(O75&lt;&gt;"","AB+",IF(P75&lt;&gt;"","AB-",""))))))))</f>
        <v/>
      </c>
      <c r="R75" s="13" t="n"/>
      <c r="S75" s="13" t="n"/>
      <c r="T75" s="13" t="n"/>
      <c r="U75" s="13" t="n"/>
      <c r="V75" s="13" t="n"/>
      <c r="W75" s="13" t="n"/>
      <c r="X75" s="14">
        <f>IF(B75="","",IF(R75&lt;&gt;"","/",IF(S75&lt;&gt;"","OPOW",IF(T75&lt;&gt;"","DJS",IF(U75&lt;&gt;"","FCS",IF(V75&lt;&gt;"","RCS",IF(W75&lt;&gt;"","POLICE","")))))))</f>
        <v/>
      </c>
      <c r="Y75" s="12" t="n"/>
      <c r="Z75" s="15">
        <f>IF(Y75="","",Y75+30)</f>
        <v/>
      </c>
      <c r="AA75" s="13" t="n"/>
      <c r="AB75" s="13" t="n"/>
      <c r="AC75" s="13" t="n"/>
      <c r="AD75" s="13" t="n"/>
      <c r="AE75" s="14">
        <f>IF(B75="","",IF(AA75&lt;&gt;"","مدفوع",IF(AB75&lt;&gt;"","لم يدفع",IF(AC75&lt;&gt;"","تأمين فقط",IF(AD75&lt;&gt;"","اشتراك 300","")))))</f>
        <v/>
      </c>
      <c r="AF75" s="16">
        <f>IF(OR(AE75="لم يدفع",B75=""),"",IF(OR(AE75="تأمين فقط",X75="FCS",X75="RCS"),0,IF(OR(AE75="اشتراك 300",X75="POLICE",X75="OPOW",X75="DJS"),300,IF(H75&lt;14,1300,1500))))</f>
        <v/>
      </c>
      <c r="AG75" s="16">
        <f>IF(OR(AE75="لم يدفع",B75=""),"",500)</f>
        <v/>
      </c>
      <c r="AH75" s="16">
        <f>IF(OR(AE75="لم يدفع",AE75="تأمين فقط",AE75="اشتراك 300",X75="OPOW",X75="DJS",X75="FCS",X75="RCS",X75="POLICE",B75=""),"",1000)</f>
        <v/>
      </c>
      <c r="AI75" s="17">
        <f>IF(AE75="لم يدفع","",IF(AF75="","",AF75+AG75))</f>
        <v/>
      </c>
      <c r="AJ75" s="18">
        <f>IF(B75="","",IF(AE75="لم يدفع","🔒 مجمدة",IF(Z75="","",IF(Z75&lt;TODAY(),"⛔ منتهي - يتطلب تجديد",IF(Z75-5&lt;=TODAY(),"⚠️ قريب الانتهاء","✅ ساري")))))</f>
        <v/>
      </c>
      <c r="AK75" s="13" t="n"/>
      <c r="AL75" s="13" t="n"/>
      <c r="AM75" s="13" t="n"/>
      <c r="AN75" s="13" t="n"/>
      <c r="AO75" s="14">
        <f>IF(B75="","",IF(AK75&lt;&gt;"","الأحد والأربعاء",IF(AL75&lt;&gt;"","الاثنين والخميس",IF(AM75&lt;&gt;"","الثلاثاء والجمعة",IF(AN75&lt;&gt;"","كل الأيام","")))))</f>
        <v/>
      </c>
      <c r="AP75" s="13" t="n"/>
      <c r="AQ75" s="13" t="n"/>
      <c r="AR75" s="13" t="n"/>
      <c r="AS75" s="13" t="n"/>
      <c r="AT75" s="14">
        <f>IF(B75="","",IF(AP75&lt;&gt;"","09:00-10:00",IF(AQ75&lt;&gt;"","10:00-11:00",IF(AR75&lt;&gt;"","19:00-20:00",IF(AS75&lt;&gt;"","20:00-21:00","")))))</f>
        <v/>
      </c>
      <c r="AU75" s="19">
        <f>IF(B75="","",COUNTA(التجديد!E75:E75))</f>
        <v/>
      </c>
    </row>
    <row r="76" ht="22" customHeight="1">
      <c r="A76" s="10">
        <f>IF(B76="","","RCS "&amp;TEXT(ROW()-2,"000"))</f>
        <v/>
      </c>
      <c r="B76" s="11" t="n"/>
      <c r="C76" s="11" t="n"/>
      <c r="D76" s="12" t="n"/>
      <c r="E76" s="13" t="n"/>
      <c r="F76" s="13" t="n"/>
      <c r="G76" s="14">
        <f>IF(B76="","",IF(E76&lt;&gt;"","ذكر",IF(F76&lt;&gt;"","أنثى","")))</f>
        <v/>
      </c>
      <c r="H76" s="14">
        <f>IF(D76="","",DATEDIF(D76,TODAY(),"Y"))</f>
        <v/>
      </c>
      <c r="I76" s="13" t="n"/>
      <c r="J76" s="13" t="n"/>
      <c r="K76" s="13" t="n"/>
      <c r="L76" s="13" t="n"/>
      <c r="M76" s="13" t="n"/>
      <c r="N76" s="13" t="n"/>
      <c r="O76" s="13" t="n"/>
      <c r="P76" s="13" t="n"/>
      <c r="Q76" s="14">
        <f>IF(B76="","",IF(I76&lt;&gt;"","A+",IF(J76&lt;&gt;"","A-",IF(K76&lt;&gt;"","B+",IF(L76&lt;&gt;"","B-",IF(M76&lt;&gt;"","O+",IF(N76&lt;&gt;"","O-",IF(O76&lt;&gt;"","AB+",IF(P76&lt;&gt;"","AB-",""))))))))</f>
        <v/>
      </c>
      <c r="R76" s="13" t="n"/>
      <c r="S76" s="13" t="n"/>
      <c r="T76" s="13" t="n"/>
      <c r="U76" s="13" t="n"/>
      <c r="V76" s="13" t="n"/>
      <c r="W76" s="13" t="n"/>
      <c r="X76" s="14">
        <f>IF(B76="","",IF(R76&lt;&gt;"","/",IF(S76&lt;&gt;"","OPOW",IF(T76&lt;&gt;"","DJS",IF(U76&lt;&gt;"","FCS",IF(V76&lt;&gt;"","RCS",IF(W76&lt;&gt;"","POLICE","")))))))</f>
        <v/>
      </c>
      <c r="Y76" s="12" t="n"/>
      <c r="Z76" s="15">
        <f>IF(Y76="","",Y76+30)</f>
        <v/>
      </c>
      <c r="AA76" s="13" t="n"/>
      <c r="AB76" s="13" t="n"/>
      <c r="AC76" s="13" t="n"/>
      <c r="AD76" s="13" t="n"/>
      <c r="AE76" s="14">
        <f>IF(B76="","",IF(AA76&lt;&gt;"","مدفوع",IF(AB76&lt;&gt;"","لم يدفع",IF(AC76&lt;&gt;"","تأمين فقط",IF(AD76&lt;&gt;"","اشتراك 300","")))))</f>
        <v/>
      </c>
      <c r="AF76" s="16">
        <f>IF(OR(AE76="لم يدفع",B76=""),"",IF(OR(AE76="تأمين فقط",X76="FCS",X76="RCS"),0,IF(OR(AE76="اشتراك 300",X76="POLICE",X76="OPOW",X76="DJS"),300,IF(H76&lt;14,1300,1500))))</f>
        <v/>
      </c>
      <c r="AG76" s="16">
        <f>IF(OR(AE76="لم يدفع",B76=""),"",500)</f>
        <v/>
      </c>
      <c r="AH76" s="16">
        <f>IF(OR(AE76="لم يدفع",AE76="تأمين فقط",AE76="اشتراك 300",X76="OPOW",X76="DJS",X76="FCS",X76="RCS",X76="POLICE",B76=""),"",1000)</f>
        <v/>
      </c>
      <c r="AI76" s="17">
        <f>IF(AE76="لم يدفع","",IF(AF76="","",AF76+AG76))</f>
        <v/>
      </c>
      <c r="AJ76" s="18">
        <f>IF(B76="","",IF(AE76="لم يدفع","🔒 مجمدة",IF(Z76="","",IF(Z76&lt;TODAY(),"⛔ منتهي - يتطلب تجديد",IF(Z76-5&lt;=TODAY(),"⚠️ قريب الانتهاء","✅ ساري")))))</f>
        <v/>
      </c>
      <c r="AK76" s="13" t="n"/>
      <c r="AL76" s="13" t="n"/>
      <c r="AM76" s="13" t="n"/>
      <c r="AN76" s="13" t="n"/>
      <c r="AO76" s="14">
        <f>IF(B76="","",IF(AK76&lt;&gt;"","الأحد والأربعاء",IF(AL76&lt;&gt;"","الاثنين والخميس",IF(AM76&lt;&gt;"","الثلاثاء والجمعة",IF(AN76&lt;&gt;"","كل الأيام","")))))</f>
        <v/>
      </c>
      <c r="AP76" s="13" t="n"/>
      <c r="AQ76" s="13" t="n"/>
      <c r="AR76" s="13" t="n"/>
      <c r="AS76" s="13" t="n"/>
      <c r="AT76" s="14">
        <f>IF(B76="","",IF(AP76&lt;&gt;"","09:00-10:00",IF(AQ76&lt;&gt;"","10:00-11:00",IF(AR76&lt;&gt;"","19:00-20:00",IF(AS76&lt;&gt;"","20:00-21:00","")))))</f>
        <v/>
      </c>
      <c r="AU76" s="19">
        <f>IF(B76="","",COUNTA(التجديد!E76:E76))</f>
        <v/>
      </c>
    </row>
    <row r="77" ht="22" customHeight="1">
      <c r="A77" s="10">
        <f>IF(B77="","","RCS "&amp;TEXT(ROW()-2,"000"))</f>
        <v/>
      </c>
      <c r="B77" s="11" t="n"/>
      <c r="C77" s="11" t="n"/>
      <c r="D77" s="12" t="n"/>
      <c r="E77" s="13" t="n"/>
      <c r="F77" s="13" t="n"/>
      <c r="G77" s="14">
        <f>IF(B77="","",IF(E77&lt;&gt;"","ذكر",IF(F77&lt;&gt;"","أنثى","")))</f>
        <v/>
      </c>
      <c r="H77" s="14">
        <f>IF(D77="","",DATEDIF(D77,TODAY(),"Y"))</f>
        <v/>
      </c>
      <c r="I77" s="13" t="n"/>
      <c r="J77" s="13" t="n"/>
      <c r="K77" s="13" t="n"/>
      <c r="L77" s="13" t="n"/>
      <c r="M77" s="13" t="n"/>
      <c r="N77" s="13" t="n"/>
      <c r="O77" s="13" t="n"/>
      <c r="P77" s="13" t="n"/>
      <c r="Q77" s="14">
        <f>IF(B77="","",IF(I77&lt;&gt;"","A+",IF(J77&lt;&gt;"","A-",IF(K77&lt;&gt;"","B+",IF(L77&lt;&gt;"","B-",IF(M77&lt;&gt;"","O+",IF(N77&lt;&gt;"","O-",IF(O77&lt;&gt;"","AB+",IF(P77&lt;&gt;"","AB-",""))))))))</f>
        <v/>
      </c>
      <c r="R77" s="13" t="n"/>
      <c r="S77" s="13" t="n"/>
      <c r="T77" s="13" t="n"/>
      <c r="U77" s="13" t="n"/>
      <c r="V77" s="13" t="n"/>
      <c r="W77" s="13" t="n"/>
      <c r="X77" s="14">
        <f>IF(B77="","",IF(R77&lt;&gt;"","/",IF(S77&lt;&gt;"","OPOW",IF(T77&lt;&gt;"","DJS",IF(U77&lt;&gt;"","FCS",IF(V77&lt;&gt;"","RCS",IF(W77&lt;&gt;"","POLICE","")))))))</f>
        <v/>
      </c>
      <c r="Y77" s="12" t="n"/>
      <c r="Z77" s="15">
        <f>IF(Y77="","",Y77+30)</f>
        <v/>
      </c>
      <c r="AA77" s="13" t="n"/>
      <c r="AB77" s="13" t="n"/>
      <c r="AC77" s="13" t="n"/>
      <c r="AD77" s="13" t="n"/>
      <c r="AE77" s="14">
        <f>IF(B77="","",IF(AA77&lt;&gt;"","مدفوع",IF(AB77&lt;&gt;"","لم يدفع",IF(AC77&lt;&gt;"","تأمين فقط",IF(AD77&lt;&gt;"","اشتراك 300","")))))</f>
        <v/>
      </c>
      <c r="AF77" s="16">
        <f>IF(OR(AE77="لم يدفع",B77=""),"",IF(OR(AE77="تأمين فقط",X77="FCS",X77="RCS"),0,IF(OR(AE77="اشتراك 300",X77="POLICE",X77="OPOW",X77="DJS"),300,IF(H77&lt;14,1300,1500))))</f>
        <v/>
      </c>
      <c r="AG77" s="16">
        <f>IF(OR(AE77="لم يدفع",B77=""),"",500)</f>
        <v/>
      </c>
      <c r="AH77" s="16">
        <f>IF(OR(AE77="لم يدفع",AE77="تأمين فقط",AE77="اشتراك 300",X77="OPOW",X77="DJS",X77="FCS",X77="RCS",X77="POLICE",B77=""),"",1000)</f>
        <v/>
      </c>
      <c r="AI77" s="17">
        <f>IF(AE77="لم يدفع","",IF(AF77="","",AF77+AG77))</f>
        <v/>
      </c>
      <c r="AJ77" s="18">
        <f>IF(B77="","",IF(AE77="لم يدفع","🔒 مجمدة",IF(Z77="","",IF(Z77&lt;TODAY(),"⛔ منتهي - يتطلب تجديد",IF(Z77-5&lt;=TODAY(),"⚠️ قريب الانتهاء","✅ ساري")))))</f>
        <v/>
      </c>
      <c r="AK77" s="13" t="n"/>
      <c r="AL77" s="13" t="n"/>
      <c r="AM77" s="13" t="n"/>
      <c r="AN77" s="13" t="n"/>
      <c r="AO77" s="14">
        <f>IF(B77="","",IF(AK77&lt;&gt;"","الأحد والأربعاء",IF(AL77&lt;&gt;"","الاثنين والخميس",IF(AM77&lt;&gt;"","الثلاثاء والجمعة",IF(AN77&lt;&gt;"","كل الأيام","")))))</f>
        <v/>
      </c>
      <c r="AP77" s="13" t="n"/>
      <c r="AQ77" s="13" t="n"/>
      <c r="AR77" s="13" t="n"/>
      <c r="AS77" s="13" t="n"/>
      <c r="AT77" s="14">
        <f>IF(B77="","",IF(AP77&lt;&gt;"","09:00-10:00",IF(AQ77&lt;&gt;"","10:00-11:00",IF(AR77&lt;&gt;"","19:00-20:00",IF(AS77&lt;&gt;"","20:00-21:00","")))))</f>
        <v/>
      </c>
      <c r="AU77" s="19">
        <f>IF(B77="","",COUNTA(التجديد!E77:E77))</f>
        <v/>
      </c>
    </row>
    <row r="78" ht="22" customHeight="1">
      <c r="A78" s="10">
        <f>IF(B78="","","RCS "&amp;TEXT(ROW()-2,"000"))</f>
        <v/>
      </c>
      <c r="B78" s="11" t="n"/>
      <c r="C78" s="11" t="n"/>
      <c r="D78" s="12" t="n"/>
      <c r="E78" s="13" t="n"/>
      <c r="F78" s="13" t="n"/>
      <c r="G78" s="14">
        <f>IF(B78="","",IF(E78&lt;&gt;"","ذكر",IF(F78&lt;&gt;"","أنثى","")))</f>
        <v/>
      </c>
      <c r="H78" s="14">
        <f>IF(D78="","",DATEDIF(D78,TODAY(),"Y"))</f>
        <v/>
      </c>
      <c r="I78" s="13" t="n"/>
      <c r="J78" s="13" t="n"/>
      <c r="K78" s="13" t="n"/>
      <c r="L78" s="13" t="n"/>
      <c r="M78" s="13" t="n"/>
      <c r="N78" s="13" t="n"/>
      <c r="O78" s="13" t="n"/>
      <c r="P78" s="13" t="n"/>
      <c r="Q78" s="14">
        <f>IF(B78="","",IF(I78&lt;&gt;"","A+",IF(J78&lt;&gt;"","A-",IF(K78&lt;&gt;"","B+",IF(L78&lt;&gt;"","B-",IF(M78&lt;&gt;"","O+",IF(N78&lt;&gt;"","O-",IF(O78&lt;&gt;"","AB+",IF(P78&lt;&gt;"","AB-",""))))))))</f>
        <v/>
      </c>
      <c r="R78" s="13" t="n"/>
      <c r="S78" s="13" t="n"/>
      <c r="T78" s="13" t="n"/>
      <c r="U78" s="13" t="n"/>
      <c r="V78" s="13" t="n"/>
      <c r="W78" s="13" t="n"/>
      <c r="X78" s="14">
        <f>IF(B78="","",IF(R78&lt;&gt;"","/",IF(S78&lt;&gt;"","OPOW",IF(T78&lt;&gt;"","DJS",IF(U78&lt;&gt;"","FCS",IF(V78&lt;&gt;"","RCS",IF(W78&lt;&gt;"","POLICE","")))))))</f>
        <v/>
      </c>
      <c r="Y78" s="12" t="n"/>
      <c r="Z78" s="15">
        <f>IF(Y78="","",Y78+30)</f>
        <v/>
      </c>
      <c r="AA78" s="13" t="n"/>
      <c r="AB78" s="13" t="n"/>
      <c r="AC78" s="13" t="n"/>
      <c r="AD78" s="13" t="n"/>
      <c r="AE78" s="14">
        <f>IF(B78="","",IF(AA78&lt;&gt;"","مدفوع",IF(AB78&lt;&gt;"","لم يدفع",IF(AC78&lt;&gt;"","تأمين فقط",IF(AD78&lt;&gt;"","اشتراك 300","")))))</f>
        <v/>
      </c>
      <c r="AF78" s="16">
        <f>IF(OR(AE78="لم يدفع",B78=""),"",IF(OR(AE78="تأمين فقط",X78="FCS",X78="RCS"),0,IF(OR(AE78="اشتراك 300",X78="POLICE",X78="OPOW",X78="DJS"),300,IF(H78&lt;14,1300,1500))))</f>
        <v/>
      </c>
      <c r="AG78" s="16">
        <f>IF(OR(AE78="لم يدفع",B78=""),"",500)</f>
        <v/>
      </c>
      <c r="AH78" s="16">
        <f>IF(OR(AE78="لم يدفع",AE78="تأمين فقط",AE78="اشتراك 300",X78="OPOW",X78="DJS",X78="FCS",X78="RCS",X78="POLICE",B78=""),"",1000)</f>
        <v/>
      </c>
      <c r="AI78" s="17">
        <f>IF(AE78="لم يدفع","",IF(AF78="","",AF78+AG78))</f>
        <v/>
      </c>
      <c r="AJ78" s="18">
        <f>IF(B78="","",IF(AE78="لم يدفع","🔒 مجمدة",IF(Z78="","",IF(Z78&lt;TODAY(),"⛔ منتهي - يتطلب تجديد",IF(Z78-5&lt;=TODAY(),"⚠️ قريب الانتهاء","✅ ساري")))))</f>
        <v/>
      </c>
      <c r="AK78" s="13" t="n"/>
      <c r="AL78" s="13" t="n"/>
      <c r="AM78" s="13" t="n"/>
      <c r="AN78" s="13" t="n"/>
      <c r="AO78" s="14">
        <f>IF(B78="","",IF(AK78&lt;&gt;"","الأحد والأربعاء",IF(AL78&lt;&gt;"","الاثنين والخميس",IF(AM78&lt;&gt;"","الثلاثاء والجمعة",IF(AN78&lt;&gt;"","كل الأيام","")))))</f>
        <v/>
      </c>
      <c r="AP78" s="13" t="n"/>
      <c r="AQ78" s="13" t="n"/>
      <c r="AR78" s="13" t="n"/>
      <c r="AS78" s="13" t="n"/>
      <c r="AT78" s="14">
        <f>IF(B78="","",IF(AP78&lt;&gt;"","09:00-10:00",IF(AQ78&lt;&gt;"","10:00-11:00",IF(AR78&lt;&gt;"","19:00-20:00",IF(AS78&lt;&gt;"","20:00-21:00","")))))</f>
        <v/>
      </c>
      <c r="AU78" s="19">
        <f>IF(B78="","",COUNTA(التجديد!E78:E78))</f>
        <v/>
      </c>
    </row>
    <row r="79" ht="22" customHeight="1">
      <c r="A79" s="10">
        <f>IF(B79="","","RCS "&amp;TEXT(ROW()-2,"000"))</f>
        <v/>
      </c>
      <c r="B79" s="11" t="n"/>
      <c r="C79" s="11" t="n"/>
      <c r="D79" s="12" t="n"/>
      <c r="E79" s="13" t="n"/>
      <c r="F79" s="13" t="n"/>
      <c r="G79" s="14">
        <f>IF(B79="","",IF(E79&lt;&gt;"","ذكر",IF(F79&lt;&gt;"","أنثى","")))</f>
        <v/>
      </c>
      <c r="H79" s="14">
        <f>IF(D79="","",DATEDIF(D79,TODAY(),"Y"))</f>
        <v/>
      </c>
      <c r="I79" s="13" t="n"/>
      <c r="J79" s="13" t="n"/>
      <c r="K79" s="13" t="n"/>
      <c r="L79" s="13" t="n"/>
      <c r="M79" s="13" t="n"/>
      <c r="N79" s="13" t="n"/>
      <c r="O79" s="13" t="n"/>
      <c r="P79" s="13" t="n"/>
      <c r="Q79" s="14">
        <f>IF(B79="","",IF(I79&lt;&gt;"","A+",IF(J79&lt;&gt;"","A-",IF(K79&lt;&gt;"","B+",IF(L79&lt;&gt;"","B-",IF(M79&lt;&gt;"","O+",IF(N79&lt;&gt;"","O-",IF(O79&lt;&gt;"","AB+",IF(P79&lt;&gt;"","AB-",""))))))))</f>
        <v/>
      </c>
      <c r="R79" s="13" t="n"/>
      <c r="S79" s="13" t="n"/>
      <c r="T79" s="13" t="n"/>
      <c r="U79" s="13" t="n"/>
      <c r="V79" s="13" t="n"/>
      <c r="W79" s="13" t="n"/>
      <c r="X79" s="14">
        <f>IF(B79="","",IF(R79&lt;&gt;"","/",IF(S79&lt;&gt;"","OPOW",IF(T79&lt;&gt;"","DJS",IF(U79&lt;&gt;"","FCS",IF(V79&lt;&gt;"","RCS",IF(W79&lt;&gt;"","POLICE","")))))))</f>
        <v/>
      </c>
      <c r="Y79" s="12" t="n"/>
      <c r="Z79" s="15">
        <f>IF(Y79="","",Y79+30)</f>
        <v/>
      </c>
      <c r="AA79" s="13" t="n"/>
      <c r="AB79" s="13" t="n"/>
      <c r="AC79" s="13" t="n"/>
      <c r="AD79" s="13" t="n"/>
      <c r="AE79" s="14">
        <f>IF(B79="","",IF(AA79&lt;&gt;"","مدفوع",IF(AB79&lt;&gt;"","لم يدفع",IF(AC79&lt;&gt;"","تأمين فقط",IF(AD79&lt;&gt;"","اشتراك 300","")))))</f>
        <v/>
      </c>
      <c r="AF79" s="16">
        <f>IF(OR(AE79="لم يدفع",B79=""),"",IF(OR(AE79="تأمين فقط",X79="FCS",X79="RCS"),0,IF(OR(AE79="اشتراك 300",X79="POLICE",X79="OPOW",X79="DJS"),300,IF(H79&lt;14,1300,1500))))</f>
        <v/>
      </c>
      <c r="AG79" s="16">
        <f>IF(OR(AE79="لم يدفع",B79=""),"",500)</f>
        <v/>
      </c>
      <c r="AH79" s="16">
        <f>IF(OR(AE79="لم يدفع",AE79="تأمين فقط",AE79="اشتراك 300",X79="OPOW",X79="DJS",X79="FCS",X79="RCS",X79="POLICE",B79=""),"",1000)</f>
        <v/>
      </c>
      <c r="AI79" s="17">
        <f>IF(AE79="لم يدفع","",IF(AF79="","",AF79+AG79))</f>
        <v/>
      </c>
      <c r="AJ79" s="18">
        <f>IF(B79="","",IF(AE79="لم يدفع","🔒 مجمدة",IF(Z79="","",IF(Z79&lt;TODAY(),"⛔ منتهي - يتطلب تجديد",IF(Z79-5&lt;=TODAY(),"⚠️ قريب الانتهاء","✅ ساري")))))</f>
        <v/>
      </c>
      <c r="AK79" s="13" t="n"/>
      <c r="AL79" s="13" t="n"/>
      <c r="AM79" s="13" t="n"/>
      <c r="AN79" s="13" t="n"/>
      <c r="AO79" s="14">
        <f>IF(B79="","",IF(AK79&lt;&gt;"","الأحد والأربعاء",IF(AL79&lt;&gt;"","الاثنين والخميس",IF(AM79&lt;&gt;"","الثلاثاء والجمعة",IF(AN79&lt;&gt;"","كل الأيام","")))))</f>
        <v/>
      </c>
      <c r="AP79" s="13" t="n"/>
      <c r="AQ79" s="13" t="n"/>
      <c r="AR79" s="13" t="n"/>
      <c r="AS79" s="13" t="n"/>
      <c r="AT79" s="14">
        <f>IF(B79="","",IF(AP79&lt;&gt;"","09:00-10:00",IF(AQ79&lt;&gt;"","10:00-11:00",IF(AR79&lt;&gt;"","19:00-20:00",IF(AS79&lt;&gt;"","20:00-21:00","")))))</f>
        <v/>
      </c>
      <c r="AU79" s="19">
        <f>IF(B79="","",COUNTA(التجديد!E79:E79))</f>
        <v/>
      </c>
    </row>
    <row r="80" ht="22" customHeight="1">
      <c r="A80" s="10">
        <f>IF(B80="","","RCS "&amp;TEXT(ROW()-2,"000"))</f>
        <v/>
      </c>
      <c r="B80" s="11" t="n"/>
      <c r="C80" s="11" t="n"/>
      <c r="D80" s="12" t="n"/>
      <c r="E80" s="13" t="n"/>
      <c r="F80" s="13" t="n"/>
      <c r="G80" s="14">
        <f>IF(B80="","",IF(E80&lt;&gt;"","ذكر",IF(F80&lt;&gt;"","أنثى","")))</f>
        <v/>
      </c>
      <c r="H80" s="14">
        <f>IF(D80="","",DATEDIF(D80,TODAY(),"Y"))</f>
        <v/>
      </c>
      <c r="I80" s="13" t="n"/>
      <c r="J80" s="13" t="n"/>
      <c r="K80" s="13" t="n"/>
      <c r="L80" s="13" t="n"/>
      <c r="M80" s="13" t="n"/>
      <c r="N80" s="13" t="n"/>
      <c r="O80" s="13" t="n"/>
      <c r="P80" s="13" t="n"/>
      <c r="Q80" s="14">
        <f>IF(B80="","",IF(I80&lt;&gt;"","A+",IF(J80&lt;&gt;"","A-",IF(K80&lt;&gt;"","B+",IF(L80&lt;&gt;"","B-",IF(M80&lt;&gt;"","O+",IF(N80&lt;&gt;"","O-",IF(O80&lt;&gt;"","AB+",IF(P80&lt;&gt;"","AB-",""))))))))</f>
        <v/>
      </c>
      <c r="R80" s="13" t="n"/>
      <c r="S80" s="13" t="n"/>
      <c r="T80" s="13" t="n"/>
      <c r="U80" s="13" t="n"/>
      <c r="V80" s="13" t="n"/>
      <c r="W80" s="13" t="n"/>
      <c r="X80" s="14">
        <f>IF(B80="","",IF(R80&lt;&gt;"","/",IF(S80&lt;&gt;"","OPOW",IF(T80&lt;&gt;"","DJS",IF(U80&lt;&gt;"","FCS",IF(V80&lt;&gt;"","RCS",IF(W80&lt;&gt;"","POLICE","")))))))</f>
        <v/>
      </c>
      <c r="Y80" s="12" t="n"/>
      <c r="Z80" s="15">
        <f>IF(Y80="","",Y80+30)</f>
        <v/>
      </c>
      <c r="AA80" s="13" t="n"/>
      <c r="AB80" s="13" t="n"/>
      <c r="AC80" s="13" t="n"/>
      <c r="AD80" s="13" t="n"/>
      <c r="AE80" s="14">
        <f>IF(B80="","",IF(AA80&lt;&gt;"","مدفوع",IF(AB80&lt;&gt;"","لم يدفع",IF(AC80&lt;&gt;"","تأمين فقط",IF(AD80&lt;&gt;"","اشتراك 300","")))))</f>
        <v/>
      </c>
      <c r="AF80" s="16">
        <f>IF(OR(AE80="لم يدفع",B80=""),"",IF(OR(AE80="تأمين فقط",X80="FCS",X80="RCS"),0,IF(OR(AE80="اشتراك 300",X80="POLICE",X80="OPOW",X80="DJS"),300,IF(H80&lt;14,1300,1500))))</f>
        <v/>
      </c>
      <c r="AG80" s="16">
        <f>IF(OR(AE80="لم يدفع",B80=""),"",500)</f>
        <v/>
      </c>
      <c r="AH80" s="16">
        <f>IF(OR(AE80="لم يدفع",AE80="تأمين فقط",AE80="اشتراك 300",X80="OPOW",X80="DJS",X80="FCS",X80="RCS",X80="POLICE",B80=""),"",1000)</f>
        <v/>
      </c>
      <c r="AI80" s="17">
        <f>IF(AE80="لم يدفع","",IF(AF80="","",AF80+AG80))</f>
        <v/>
      </c>
      <c r="AJ80" s="18">
        <f>IF(B80="","",IF(AE80="لم يدفع","🔒 مجمدة",IF(Z80="","",IF(Z80&lt;TODAY(),"⛔ منتهي - يتطلب تجديد",IF(Z80-5&lt;=TODAY(),"⚠️ قريب الانتهاء","✅ ساري")))))</f>
        <v/>
      </c>
      <c r="AK80" s="13" t="n"/>
      <c r="AL80" s="13" t="n"/>
      <c r="AM80" s="13" t="n"/>
      <c r="AN80" s="13" t="n"/>
      <c r="AO80" s="14">
        <f>IF(B80="","",IF(AK80&lt;&gt;"","الأحد والأربعاء",IF(AL80&lt;&gt;"","الاثنين والخميس",IF(AM80&lt;&gt;"","الثلاثاء والجمعة",IF(AN80&lt;&gt;"","كل الأيام","")))))</f>
        <v/>
      </c>
      <c r="AP80" s="13" t="n"/>
      <c r="AQ80" s="13" t="n"/>
      <c r="AR80" s="13" t="n"/>
      <c r="AS80" s="13" t="n"/>
      <c r="AT80" s="14">
        <f>IF(B80="","",IF(AP80&lt;&gt;"","09:00-10:00",IF(AQ80&lt;&gt;"","10:00-11:00",IF(AR80&lt;&gt;"","19:00-20:00",IF(AS80&lt;&gt;"","20:00-21:00","")))))</f>
        <v/>
      </c>
      <c r="AU80" s="19">
        <f>IF(B80="","",COUNTA(التجديد!E80:E80))</f>
        <v/>
      </c>
    </row>
    <row r="81" ht="22" customHeight="1">
      <c r="A81" s="10">
        <f>IF(B81="","","RCS "&amp;TEXT(ROW()-2,"000"))</f>
        <v/>
      </c>
      <c r="B81" s="11" t="n"/>
      <c r="C81" s="11" t="n"/>
      <c r="D81" s="12" t="n"/>
      <c r="E81" s="13" t="n"/>
      <c r="F81" s="13" t="n"/>
      <c r="G81" s="14">
        <f>IF(B81="","",IF(E81&lt;&gt;"","ذكر",IF(F81&lt;&gt;"","أنثى","")))</f>
        <v/>
      </c>
      <c r="H81" s="14">
        <f>IF(D81="","",DATEDIF(D81,TODAY(),"Y"))</f>
        <v/>
      </c>
      <c r="I81" s="13" t="n"/>
      <c r="J81" s="13" t="n"/>
      <c r="K81" s="13" t="n"/>
      <c r="L81" s="13" t="n"/>
      <c r="M81" s="13" t="n"/>
      <c r="N81" s="13" t="n"/>
      <c r="O81" s="13" t="n"/>
      <c r="P81" s="13" t="n"/>
      <c r="Q81" s="14">
        <f>IF(B81="","",IF(I81&lt;&gt;"","A+",IF(J81&lt;&gt;"","A-",IF(K81&lt;&gt;"","B+",IF(L81&lt;&gt;"","B-",IF(M81&lt;&gt;"","O+",IF(N81&lt;&gt;"","O-",IF(O81&lt;&gt;"","AB+",IF(P81&lt;&gt;"","AB-",""))))))))</f>
        <v/>
      </c>
      <c r="R81" s="13" t="n"/>
      <c r="S81" s="13" t="n"/>
      <c r="T81" s="13" t="n"/>
      <c r="U81" s="13" t="n"/>
      <c r="V81" s="13" t="n"/>
      <c r="W81" s="13" t="n"/>
      <c r="X81" s="14">
        <f>IF(B81="","",IF(R81&lt;&gt;"","/",IF(S81&lt;&gt;"","OPOW",IF(T81&lt;&gt;"","DJS",IF(U81&lt;&gt;"","FCS",IF(V81&lt;&gt;"","RCS",IF(W81&lt;&gt;"","POLICE","")))))))</f>
        <v/>
      </c>
      <c r="Y81" s="12" t="n"/>
      <c r="Z81" s="15">
        <f>IF(Y81="","",Y81+30)</f>
        <v/>
      </c>
      <c r="AA81" s="13" t="n"/>
      <c r="AB81" s="13" t="n"/>
      <c r="AC81" s="13" t="n"/>
      <c r="AD81" s="13" t="n"/>
      <c r="AE81" s="14">
        <f>IF(B81="","",IF(AA81&lt;&gt;"","مدفوع",IF(AB81&lt;&gt;"","لم يدفع",IF(AC81&lt;&gt;"","تأمين فقط",IF(AD81&lt;&gt;"","اشتراك 300","")))))</f>
        <v/>
      </c>
      <c r="AF81" s="16">
        <f>IF(OR(AE81="لم يدفع",B81=""),"",IF(OR(AE81="تأمين فقط",X81="FCS",X81="RCS"),0,IF(OR(AE81="اشتراك 300",X81="POLICE",X81="OPOW",X81="DJS"),300,IF(H81&lt;14,1300,1500))))</f>
        <v/>
      </c>
      <c r="AG81" s="16">
        <f>IF(OR(AE81="لم يدفع",B81=""),"",500)</f>
        <v/>
      </c>
      <c r="AH81" s="16">
        <f>IF(OR(AE81="لم يدفع",AE81="تأمين فقط",AE81="اشتراك 300",X81="OPOW",X81="DJS",X81="FCS",X81="RCS",X81="POLICE",B81=""),"",1000)</f>
        <v/>
      </c>
      <c r="AI81" s="17">
        <f>IF(AE81="لم يدفع","",IF(AF81="","",AF81+AG81))</f>
        <v/>
      </c>
      <c r="AJ81" s="18">
        <f>IF(B81="","",IF(AE81="لم يدفع","🔒 مجمدة",IF(Z81="","",IF(Z81&lt;TODAY(),"⛔ منتهي - يتطلب تجديد",IF(Z81-5&lt;=TODAY(),"⚠️ قريب الانتهاء","✅ ساري")))))</f>
        <v/>
      </c>
      <c r="AK81" s="13" t="n"/>
      <c r="AL81" s="13" t="n"/>
      <c r="AM81" s="13" t="n"/>
      <c r="AN81" s="13" t="n"/>
      <c r="AO81" s="14">
        <f>IF(B81="","",IF(AK81&lt;&gt;"","الأحد والأربعاء",IF(AL81&lt;&gt;"","الاثنين والخميس",IF(AM81&lt;&gt;"","الثلاثاء والجمعة",IF(AN81&lt;&gt;"","كل الأيام","")))))</f>
        <v/>
      </c>
      <c r="AP81" s="13" t="n"/>
      <c r="AQ81" s="13" t="n"/>
      <c r="AR81" s="13" t="n"/>
      <c r="AS81" s="13" t="n"/>
      <c r="AT81" s="14">
        <f>IF(B81="","",IF(AP81&lt;&gt;"","09:00-10:00",IF(AQ81&lt;&gt;"","10:00-11:00",IF(AR81&lt;&gt;"","19:00-20:00",IF(AS81&lt;&gt;"","20:00-21:00","")))))</f>
        <v/>
      </c>
      <c r="AU81" s="19">
        <f>IF(B81="","",COUNTA(التجديد!E81:E81))</f>
        <v/>
      </c>
    </row>
    <row r="82" ht="22" customHeight="1">
      <c r="A82" s="10">
        <f>IF(B82="","","RCS "&amp;TEXT(ROW()-2,"000"))</f>
        <v/>
      </c>
      <c r="B82" s="11" t="n"/>
      <c r="C82" s="11" t="n"/>
      <c r="D82" s="12" t="n"/>
      <c r="E82" s="13" t="n"/>
      <c r="F82" s="13" t="n"/>
      <c r="G82" s="14">
        <f>IF(B82="","",IF(E82&lt;&gt;"","ذكر",IF(F82&lt;&gt;"","أنثى","")))</f>
        <v/>
      </c>
      <c r="H82" s="14">
        <f>IF(D82="","",DATEDIF(D82,TODAY(),"Y"))</f>
        <v/>
      </c>
      <c r="I82" s="13" t="n"/>
      <c r="J82" s="13" t="n"/>
      <c r="K82" s="13" t="n"/>
      <c r="L82" s="13" t="n"/>
      <c r="M82" s="13" t="n"/>
      <c r="N82" s="13" t="n"/>
      <c r="O82" s="13" t="n"/>
      <c r="P82" s="13" t="n"/>
      <c r="Q82" s="14">
        <f>IF(B82="","",IF(I82&lt;&gt;"","A+",IF(J82&lt;&gt;"","A-",IF(K82&lt;&gt;"","B+",IF(L82&lt;&gt;"","B-",IF(M82&lt;&gt;"","O+",IF(N82&lt;&gt;"","O-",IF(O82&lt;&gt;"","AB+",IF(P82&lt;&gt;"","AB-",""))))))))</f>
        <v/>
      </c>
      <c r="R82" s="13" t="n"/>
      <c r="S82" s="13" t="n"/>
      <c r="T82" s="13" t="n"/>
      <c r="U82" s="13" t="n"/>
      <c r="V82" s="13" t="n"/>
      <c r="W82" s="13" t="n"/>
      <c r="X82" s="14">
        <f>IF(B82="","",IF(R82&lt;&gt;"","/",IF(S82&lt;&gt;"","OPOW",IF(T82&lt;&gt;"","DJS",IF(U82&lt;&gt;"","FCS",IF(V82&lt;&gt;"","RCS",IF(W82&lt;&gt;"","POLICE","")))))))</f>
        <v/>
      </c>
      <c r="Y82" s="12" t="n"/>
      <c r="Z82" s="15">
        <f>IF(Y82="","",Y82+30)</f>
        <v/>
      </c>
      <c r="AA82" s="13" t="n"/>
      <c r="AB82" s="13" t="n"/>
      <c r="AC82" s="13" t="n"/>
      <c r="AD82" s="13" t="n"/>
      <c r="AE82" s="14">
        <f>IF(B82="","",IF(AA82&lt;&gt;"","مدفوع",IF(AB82&lt;&gt;"","لم يدفع",IF(AC82&lt;&gt;"","تأمين فقط",IF(AD82&lt;&gt;"","اشتراك 300","")))))</f>
        <v/>
      </c>
      <c r="AF82" s="16">
        <f>IF(OR(AE82="لم يدفع",B82=""),"",IF(OR(AE82="تأمين فقط",X82="FCS",X82="RCS"),0,IF(OR(AE82="اشتراك 300",X82="POLICE",X82="OPOW",X82="DJS"),300,IF(H82&lt;14,1300,1500))))</f>
        <v/>
      </c>
      <c r="AG82" s="16">
        <f>IF(OR(AE82="لم يدفع",B82=""),"",500)</f>
        <v/>
      </c>
      <c r="AH82" s="16">
        <f>IF(OR(AE82="لم يدفع",AE82="تأمين فقط",AE82="اشتراك 300",X82="OPOW",X82="DJS",X82="FCS",X82="RCS",X82="POLICE",B82=""),"",1000)</f>
        <v/>
      </c>
      <c r="AI82" s="17">
        <f>IF(AE82="لم يدفع","",IF(AF82="","",AF82+AG82))</f>
        <v/>
      </c>
      <c r="AJ82" s="18">
        <f>IF(B82="","",IF(AE82="لم يدفع","🔒 مجمدة",IF(Z82="","",IF(Z82&lt;TODAY(),"⛔ منتهي - يتطلب تجديد",IF(Z82-5&lt;=TODAY(),"⚠️ قريب الانتهاء","✅ ساري")))))</f>
        <v/>
      </c>
      <c r="AK82" s="13" t="n"/>
      <c r="AL82" s="13" t="n"/>
      <c r="AM82" s="13" t="n"/>
      <c r="AN82" s="13" t="n"/>
      <c r="AO82" s="14">
        <f>IF(B82="","",IF(AK82&lt;&gt;"","الأحد والأربعاء",IF(AL82&lt;&gt;"","الاثنين والخميس",IF(AM82&lt;&gt;"","الثلاثاء والجمعة",IF(AN82&lt;&gt;"","كل الأيام","")))))</f>
        <v/>
      </c>
      <c r="AP82" s="13" t="n"/>
      <c r="AQ82" s="13" t="n"/>
      <c r="AR82" s="13" t="n"/>
      <c r="AS82" s="13" t="n"/>
      <c r="AT82" s="14">
        <f>IF(B82="","",IF(AP82&lt;&gt;"","09:00-10:00",IF(AQ82&lt;&gt;"","10:00-11:00",IF(AR82&lt;&gt;"","19:00-20:00",IF(AS82&lt;&gt;"","20:00-21:00","")))))</f>
        <v/>
      </c>
      <c r="AU82" s="19">
        <f>IF(B82="","",COUNTA(التجديد!E82:E82))</f>
        <v/>
      </c>
    </row>
    <row r="83" ht="22" customHeight="1">
      <c r="A83" s="10">
        <f>IF(B83="","","RCS "&amp;TEXT(ROW()-2,"000"))</f>
        <v/>
      </c>
      <c r="B83" s="11" t="n"/>
      <c r="C83" s="11" t="n"/>
      <c r="D83" s="12" t="n"/>
      <c r="E83" s="13" t="n"/>
      <c r="F83" s="13" t="n"/>
      <c r="G83" s="14">
        <f>IF(B83="","",IF(E83&lt;&gt;"","ذكر",IF(F83&lt;&gt;"","أنثى","")))</f>
        <v/>
      </c>
      <c r="H83" s="14">
        <f>IF(D83="","",DATEDIF(D83,TODAY(),"Y"))</f>
        <v/>
      </c>
      <c r="I83" s="13" t="n"/>
      <c r="J83" s="13" t="n"/>
      <c r="K83" s="13" t="n"/>
      <c r="L83" s="13" t="n"/>
      <c r="M83" s="13" t="n"/>
      <c r="N83" s="13" t="n"/>
      <c r="O83" s="13" t="n"/>
      <c r="P83" s="13" t="n"/>
      <c r="Q83" s="14">
        <f>IF(B83="","",IF(I83&lt;&gt;"","A+",IF(J83&lt;&gt;"","A-",IF(K83&lt;&gt;"","B+",IF(L83&lt;&gt;"","B-",IF(M83&lt;&gt;"","O+",IF(N83&lt;&gt;"","O-",IF(O83&lt;&gt;"","AB+",IF(P83&lt;&gt;"","AB-",""))))))))</f>
        <v/>
      </c>
      <c r="R83" s="13" t="n"/>
      <c r="S83" s="13" t="n"/>
      <c r="T83" s="13" t="n"/>
      <c r="U83" s="13" t="n"/>
      <c r="V83" s="13" t="n"/>
      <c r="W83" s="13" t="n"/>
      <c r="X83" s="14">
        <f>IF(B83="","",IF(R83&lt;&gt;"","/",IF(S83&lt;&gt;"","OPOW",IF(T83&lt;&gt;"","DJS",IF(U83&lt;&gt;"","FCS",IF(V83&lt;&gt;"","RCS",IF(W83&lt;&gt;"","POLICE","")))))))</f>
        <v/>
      </c>
      <c r="Y83" s="12" t="n"/>
      <c r="Z83" s="15">
        <f>IF(Y83="","",Y83+30)</f>
        <v/>
      </c>
      <c r="AA83" s="13" t="n"/>
      <c r="AB83" s="13" t="n"/>
      <c r="AC83" s="13" t="n"/>
      <c r="AD83" s="13" t="n"/>
      <c r="AE83" s="14">
        <f>IF(B83="","",IF(AA83&lt;&gt;"","مدفوع",IF(AB83&lt;&gt;"","لم يدفع",IF(AC83&lt;&gt;"","تأمين فقط",IF(AD83&lt;&gt;"","اشتراك 300","")))))</f>
        <v/>
      </c>
      <c r="AF83" s="16">
        <f>IF(OR(AE83="لم يدفع",B83=""),"",IF(OR(AE83="تأمين فقط",X83="FCS",X83="RCS"),0,IF(OR(AE83="اشتراك 300",X83="POLICE",X83="OPOW",X83="DJS"),300,IF(H83&lt;14,1300,1500))))</f>
        <v/>
      </c>
      <c r="AG83" s="16">
        <f>IF(OR(AE83="لم يدفع",B83=""),"",500)</f>
        <v/>
      </c>
      <c r="AH83" s="16">
        <f>IF(OR(AE83="لم يدفع",AE83="تأمين فقط",AE83="اشتراك 300",X83="OPOW",X83="DJS",X83="FCS",X83="RCS",X83="POLICE",B83=""),"",1000)</f>
        <v/>
      </c>
      <c r="AI83" s="17">
        <f>IF(AE83="لم يدفع","",IF(AF83="","",AF83+AG83))</f>
        <v/>
      </c>
      <c r="AJ83" s="18">
        <f>IF(B83="","",IF(AE83="لم يدفع","🔒 مجمدة",IF(Z83="","",IF(Z83&lt;TODAY(),"⛔ منتهي - يتطلب تجديد",IF(Z83-5&lt;=TODAY(),"⚠️ قريب الانتهاء","✅ ساري")))))</f>
        <v/>
      </c>
      <c r="AK83" s="13" t="n"/>
      <c r="AL83" s="13" t="n"/>
      <c r="AM83" s="13" t="n"/>
      <c r="AN83" s="13" t="n"/>
      <c r="AO83" s="14">
        <f>IF(B83="","",IF(AK83&lt;&gt;"","الأحد والأربعاء",IF(AL83&lt;&gt;"","الاثنين والخميس",IF(AM83&lt;&gt;"","الثلاثاء والجمعة",IF(AN83&lt;&gt;"","كل الأيام","")))))</f>
        <v/>
      </c>
      <c r="AP83" s="13" t="n"/>
      <c r="AQ83" s="13" t="n"/>
      <c r="AR83" s="13" t="n"/>
      <c r="AS83" s="13" t="n"/>
      <c r="AT83" s="14">
        <f>IF(B83="","",IF(AP83&lt;&gt;"","09:00-10:00",IF(AQ83&lt;&gt;"","10:00-11:00",IF(AR83&lt;&gt;"","19:00-20:00",IF(AS83&lt;&gt;"","20:00-21:00","")))))</f>
        <v/>
      </c>
      <c r="AU83" s="19">
        <f>IF(B83="","",COUNTA(التجديد!E83:E83))</f>
        <v/>
      </c>
    </row>
    <row r="84" ht="22" customHeight="1">
      <c r="A84" s="10">
        <f>IF(B84="","","RCS "&amp;TEXT(ROW()-2,"000"))</f>
        <v/>
      </c>
      <c r="B84" s="11" t="n"/>
      <c r="C84" s="11" t="n"/>
      <c r="D84" s="12" t="n"/>
      <c r="E84" s="13" t="n"/>
      <c r="F84" s="13" t="n"/>
      <c r="G84" s="14">
        <f>IF(B84="","",IF(E84&lt;&gt;"","ذكر",IF(F84&lt;&gt;"","أنثى","")))</f>
        <v/>
      </c>
      <c r="H84" s="14">
        <f>IF(D84="","",DATEDIF(D84,TODAY(),"Y"))</f>
        <v/>
      </c>
      <c r="I84" s="13" t="n"/>
      <c r="J84" s="13" t="n"/>
      <c r="K84" s="13" t="n"/>
      <c r="L84" s="13" t="n"/>
      <c r="M84" s="13" t="n"/>
      <c r="N84" s="13" t="n"/>
      <c r="O84" s="13" t="n"/>
      <c r="P84" s="13" t="n"/>
      <c r="Q84" s="14">
        <f>IF(B84="","",IF(I84&lt;&gt;"","A+",IF(J84&lt;&gt;"","A-",IF(K84&lt;&gt;"","B+",IF(L84&lt;&gt;"","B-",IF(M84&lt;&gt;"","O+",IF(N84&lt;&gt;"","O-",IF(O84&lt;&gt;"","AB+",IF(P84&lt;&gt;"","AB-",""))))))))</f>
        <v/>
      </c>
      <c r="R84" s="13" t="n"/>
      <c r="S84" s="13" t="n"/>
      <c r="T84" s="13" t="n"/>
      <c r="U84" s="13" t="n"/>
      <c r="V84" s="13" t="n"/>
      <c r="W84" s="13" t="n"/>
      <c r="X84" s="14">
        <f>IF(B84="","",IF(R84&lt;&gt;"","/",IF(S84&lt;&gt;"","OPOW",IF(T84&lt;&gt;"","DJS",IF(U84&lt;&gt;"","FCS",IF(V84&lt;&gt;"","RCS",IF(W84&lt;&gt;"","POLICE","")))))))</f>
        <v/>
      </c>
      <c r="Y84" s="12" t="n"/>
      <c r="Z84" s="15">
        <f>IF(Y84="","",Y84+30)</f>
        <v/>
      </c>
      <c r="AA84" s="13" t="n"/>
      <c r="AB84" s="13" t="n"/>
      <c r="AC84" s="13" t="n"/>
      <c r="AD84" s="13" t="n"/>
      <c r="AE84" s="14">
        <f>IF(B84="","",IF(AA84&lt;&gt;"","مدفوع",IF(AB84&lt;&gt;"","لم يدفع",IF(AC84&lt;&gt;"","تأمين فقط",IF(AD84&lt;&gt;"","اشتراك 300","")))))</f>
        <v/>
      </c>
      <c r="AF84" s="16">
        <f>IF(OR(AE84="لم يدفع",B84=""),"",IF(OR(AE84="تأمين فقط",X84="FCS",X84="RCS"),0,IF(OR(AE84="اشتراك 300",X84="POLICE",X84="OPOW",X84="DJS"),300,IF(H84&lt;14,1300,1500))))</f>
        <v/>
      </c>
      <c r="AG84" s="16">
        <f>IF(OR(AE84="لم يدفع",B84=""),"",500)</f>
        <v/>
      </c>
      <c r="AH84" s="16">
        <f>IF(OR(AE84="لم يدفع",AE84="تأمين فقط",AE84="اشتراك 300",X84="OPOW",X84="DJS",X84="FCS",X84="RCS",X84="POLICE",B84=""),"",1000)</f>
        <v/>
      </c>
      <c r="AI84" s="17">
        <f>IF(AE84="لم يدفع","",IF(AF84="","",AF84+AG84))</f>
        <v/>
      </c>
      <c r="AJ84" s="18">
        <f>IF(B84="","",IF(AE84="لم يدفع","🔒 مجمدة",IF(Z84="","",IF(Z84&lt;TODAY(),"⛔ منتهي - يتطلب تجديد",IF(Z84-5&lt;=TODAY(),"⚠️ قريب الانتهاء","✅ ساري")))))</f>
        <v/>
      </c>
      <c r="AK84" s="13" t="n"/>
      <c r="AL84" s="13" t="n"/>
      <c r="AM84" s="13" t="n"/>
      <c r="AN84" s="13" t="n"/>
      <c r="AO84" s="14">
        <f>IF(B84="","",IF(AK84&lt;&gt;"","الأحد والأربعاء",IF(AL84&lt;&gt;"","الاثنين والخميس",IF(AM84&lt;&gt;"","الثلاثاء والجمعة",IF(AN84&lt;&gt;"","كل الأيام","")))))</f>
        <v/>
      </c>
      <c r="AP84" s="13" t="n"/>
      <c r="AQ84" s="13" t="n"/>
      <c r="AR84" s="13" t="n"/>
      <c r="AS84" s="13" t="n"/>
      <c r="AT84" s="14">
        <f>IF(B84="","",IF(AP84&lt;&gt;"","09:00-10:00",IF(AQ84&lt;&gt;"","10:00-11:00",IF(AR84&lt;&gt;"","19:00-20:00",IF(AS84&lt;&gt;"","20:00-21:00","")))))</f>
        <v/>
      </c>
      <c r="AU84" s="19">
        <f>IF(B84="","",COUNTA(التجديد!E84:E84))</f>
        <v/>
      </c>
    </row>
    <row r="85" ht="22" customHeight="1">
      <c r="A85" s="10">
        <f>IF(B85="","","RCS "&amp;TEXT(ROW()-2,"000"))</f>
        <v/>
      </c>
      <c r="B85" s="11" t="n"/>
      <c r="C85" s="11" t="n"/>
      <c r="D85" s="12" t="n"/>
      <c r="E85" s="13" t="n"/>
      <c r="F85" s="13" t="n"/>
      <c r="G85" s="14">
        <f>IF(B85="","",IF(E85&lt;&gt;"","ذكر",IF(F85&lt;&gt;"","أنثى","")))</f>
        <v/>
      </c>
      <c r="H85" s="14">
        <f>IF(D85="","",DATEDIF(D85,TODAY(),"Y"))</f>
        <v/>
      </c>
      <c r="I85" s="13" t="n"/>
      <c r="J85" s="13" t="n"/>
      <c r="K85" s="13" t="n"/>
      <c r="L85" s="13" t="n"/>
      <c r="M85" s="13" t="n"/>
      <c r="N85" s="13" t="n"/>
      <c r="O85" s="13" t="n"/>
      <c r="P85" s="13" t="n"/>
      <c r="Q85" s="14">
        <f>IF(B85="","",IF(I85&lt;&gt;"","A+",IF(J85&lt;&gt;"","A-",IF(K85&lt;&gt;"","B+",IF(L85&lt;&gt;"","B-",IF(M85&lt;&gt;"","O+",IF(N85&lt;&gt;"","O-",IF(O85&lt;&gt;"","AB+",IF(P85&lt;&gt;"","AB-",""))))))))</f>
        <v/>
      </c>
      <c r="R85" s="13" t="n"/>
      <c r="S85" s="13" t="n"/>
      <c r="T85" s="13" t="n"/>
      <c r="U85" s="13" t="n"/>
      <c r="V85" s="13" t="n"/>
      <c r="W85" s="13" t="n"/>
      <c r="X85" s="14">
        <f>IF(B85="","",IF(R85&lt;&gt;"","/",IF(S85&lt;&gt;"","OPOW",IF(T85&lt;&gt;"","DJS",IF(U85&lt;&gt;"","FCS",IF(V85&lt;&gt;"","RCS",IF(W85&lt;&gt;"","POLICE","")))))))</f>
        <v/>
      </c>
      <c r="Y85" s="12" t="n"/>
      <c r="Z85" s="15">
        <f>IF(Y85="","",Y85+30)</f>
        <v/>
      </c>
      <c r="AA85" s="13" t="n"/>
      <c r="AB85" s="13" t="n"/>
      <c r="AC85" s="13" t="n"/>
      <c r="AD85" s="13" t="n"/>
      <c r="AE85" s="14">
        <f>IF(B85="","",IF(AA85&lt;&gt;"","مدفوع",IF(AB85&lt;&gt;"","لم يدفع",IF(AC85&lt;&gt;"","تأمين فقط",IF(AD85&lt;&gt;"","اشتراك 300","")))))</f>
        <v/>
      </c>
      <c r="AF85" s="16">
        <f>IF(OR(AE85="لم يدفع",B85=""),"",IF(OR(AE85="تأمين فقط",X85="FCS",X85="RCS"),0,IF(OR(AE85="اشتراك 300",X85="POLICE",X85="OPOW",X85="DJS"),300,IF(H85&lt;14,1300,1500))))</f>
        <v/>
      </c>
      <c r="AG85" s="16">
        <f>IF(OR(AE85="لم يدفع",B85=""),"",500)</f>
        <v/>
      </c>
      <c r="AH85" s="16">
        <f>IF(OR(AE85="لم يدفع",AE85="تأمين فقط",AE85="اشتراك 300",X85="OPOW",X85="DJS",X85="FCS",X85="RCS",X85="POLICE",B85=""),"",1000)</f>
        <v/>
      </c>
      <c r="AI85" s="17">
        <f>IF(AE85="لم يدفع","",IF(AF85="","",AF85+AG85))</f>
        <v/>
      </c>
      <c r="AJ85" s="18">
        <f>IF(B85="","",IF(AE85="لم يدفع","🔒 مجمدة",IF(Z85="","",IF(Z85&lt;TODAY(),"⛔ منتهي - يتطلب تجديد",IF(Z85-5&lt;=TODAY(),"⚠️ قريب الانتهاء","✅ ساري")))))</f>
        <v/>
      </c>
      <c r="AK85" s="13" t="n"/>
      <c r="AL85" s="13" t="n"/>
      <c r="AM85" s="13" t="n"/>
      <c r="AN85" s="13" t="n"/>
      <c r="AO85" s="14">
        <f>IF(B85="","",IF(AK85&lt;&gt;"","الأحد والأربعاء",IF(AL85&lt;&gt;"","الاثنين والخميس",IF(AM85&lt;&gt;"","الثلاثاء والجمعة",IF(AN85&lt;&gt;"","كل الأيام","")))))</f>
        <v/>
      </c>
      <c r="AP85" s="13" t="n"/>
      <c r="AQ85" s="13" t="n"/>
      <c r="AR85" s="13" t="n"/>
      <c r="AS85" s="13" t="n"/>
      <c r="AT85" s="14">
        <f>IF(B85="","",IF(AP85&lt;&gt;"","09:00-10:00",IF(AQ85&lt;&gt;"","10:00-11:00",IF(AR85&lt;&gt;"","19:00-20:00",IF(AS85&lt;&gt;"","20:00-21:00","")))))</f>
        <v/>
      </c>
      <c r="AU85" s="19">
        <f>IF(B85="","",COUNTA(التجديد!E85:E85))</f>
        <v/>
      </c>
    </row>
    <row r="86" ht="22" customHeight="1">
      <c r="A86" s="10">
        <f>IF(B86="","","RCS "&amp;TEXT(ROW()-2,"000"))</f>
        <v/>
      </c>
      <c r="B86" s="11" t="n"/>
      <c r="C86" s="11" t="n"/>
      <c r="D86" s="12" t="n"/>
      <c r="E86" s="13" t="n"/>
      <c r="F86" s="13" t="n"/>
      <c r="G86" s="14">
        <f>IF(B86="","",IF(E86&lt;&gt;"","ذكر",IF(F86&lt;&gt;"","أنثى","")))</f>
        <v/>
      </c>
      <c r="H86" s="14">
        <f>IF(D86="","",DATEDIF(D86,TODAY(),"Y"))</f>
        <v/>
      </c>
      <c r="I86" s="13" t="n"/>
      <c r="J86" s="13" t="n"/>
      <c r="K86" s="13" t="n"/>
      <c r="L86" s="13" t="n"/>
      <c r="M86" s="13" t="n"/>
      <c r="N86" s="13" t="n"/>
      <c r="O86" s="13" t="n"/>
      <c r="P86" s="13" t="n"/>
      <c r="Q86" s="14">
        <f>IF(B86="","",IF(I86&lt;&gt;"","A+",IF(J86&lt;&gt;"","A-",IF(K86&lt;&gt;"","B+",IF(L86&lt;&gt;"","B-",IF(M86&lt;&gt;"","O+",IF(N86&lt;&gt;"","O-",IF(O86&lt;&gt;"","AB+",IF(P86&lt;&gt;"","AB-",""))))))))</f>
        <v/>
      </c>
      <c r="R86" s="13" t="n"/>
      <c r="S86" s="13" t="n"/>
      <c r="T86" s="13" t="n"/>
      <c r="U86" s="13" t="n"/>
      <c r="V86" s="13" t="n"/>
      <c r="W86" s="13" t="n"/>
      <c r="X86" s="14">
        <f>IF(B86="","",IF(R86&lt;&gt;"","/",IF(S86&lt;&gt;"","OPOW",IF(T86&lt;&gt;"","DJS",IF(U86&lt;&gt;"","FCS",IF(V86&lt;&gt;"","RCS",IF(W86&lt;&gt;"","POLICE","")))))))</f>
        <v/>
      </c>
      <c r="Y86" s="12" t="n"/>
      <c r="Z86" s="15">
        <f>IF(Y86="","",Y86+30)</f>
        <v/>
      </c>
      <c r="AA86" s="13" t="n"/>
      <c r="AB86" s="13" t="n"/>
      <c r="AC86" s="13" t="n"/>
      <c r="AD86" s="13" t="n"/>
      <c r="AE86" s="14">
        <f>IF(B86="","",IF(AA86&lt;&gt;"","مدفوع",IF(AB86&lt;&gt;"","لم يدفع",IF(AC86&lt;&gt;"","تأمين فقط",IF(AD86&lt;&gt;"","اشتراك 300","")))))</f>
        <v/>
      </c>
      <c r="AF86" s="16">
        <f>IF(OR(AE86="لم يدفع",B86=""),"",IF(OR(AE86="تأمين فقط",X86="FCS",X86="RCS"),0,IF(OR(AE86="اشتراك 300",X86="POLICE",X86="OPOW",X86="DJS"),300,IF(H86&lt;14,1300,1500))))</f>
        <v/>
      </c>
      <c r="AG86" s="16">
        <f>IF(OR(AE86="لم يدفع",B86=""),"",500)</f>
        <v/>
      </c>
      <c r="AH86" s="16">
        <f>IF(OR(AE86="لم يدفع",AE86="تأمين فقط",AE86="اشتراك 300",X86="OPOW",X86="DJS",X86="FCS",X86="RCS",X86="POLICE",B86=""),"",1000)</f>
        <v/>
      </c>
      <c r="AI86" s="17">
        <f>IF(AE86="لم يدفع","",IF(AF86="","",AF86+AG86))</f>
        <v/>
      </c>
      <c r="AJ86" s="18">
        <f>IF(B86="","",IF(AE86="لم يدفع","🔒 مجمدة",IF(Z86="","",IF(Z86&lt;TODAY(),"⛔ منتهي - يتطلب تجديد",IF(Z86-5&lt;=TODAY(),"⚠️ قريب الانتهاء","✅ ساري")))))</f>
        <v/>
      </c>
      <c r="AK86" s="13" t="n"/>
      <c r="AL86" s="13" t="n"/>
      <c r="AM86" s="13" t="n"/>
      <c r="AN86" s="13" t="n"/>
      <c r="AO86" s="14">
        <f>IF(B86="","",IF(AK86&lt;&gt;"","الأحد والأربعاء",IF(AL86&lt;&gt;"","الاثنين والخميس",IF(AM86&lt;&gt;"","الثلاثاء والجمعة",IF(AN86&lt;&gt;"","كل الأيام","")))))</f>
        <v/>
      </c>
      <c r="AP86" s="13" t="n"/>
      <c r="AQ86" s="13" t="n"/>
      <c r="AR86" s="13" t="n"/>
      <c r="AS86" s="13" t="n"/>
      <c r="AT86" s="14">
        <f>IF(B86="","",IF(AP86&lt;&gt;"","09:00-10:00",IF(AQ86&lt;&gt;"","10:00-11:00",IF(AR86&lt;&gt;"","19:00-20:00",IF(AS86&lt;&gt;"","20:00-21:00","")))))</f>
        <v/>
      </c>
      <c r="AU86" s="19">
        <f>IF(B86="","",COUNTA(التجديد!E86:E86))</f>
        <v/>
      </c>
    </row>
    <row r="87" ht="22" customHeight="1">
      <c r="A87" s="10">
        <f>IF(B87="","","RCS "&amp;TEXT(ROW()-2,"000"))</f>
        <v/>
      </c>
      <c r="B87" s="11" t="n"/>
      <c r="C87" s="11" t="n"/>
      <c r="D87" s="12" t="n"/>
      <c r="E87" s="13" t="n"/>
      <c r="F87" s="13" t="n"/>
      <c r="G87" s="14">
        <f>IF(B87="","",IF(E87&lt;&gt;"","ذكر",IF(F87&lt;&gt;"","أنثى","")))</f>
        <v/>
      </c>
      <c r="H87" s="14">
        <f>IF(D87="","",DATEDIF(D87,TODAY(),"Y"))</f>
        <v/>
      </c>
      <c r="I87" s="13" t="n"/>
      <c r="J87" s="13" t="n"/>
      <c r="K87" s="13" t="n"/>
      <c r="L87" s="13" t="n"/>
      <c r="M87" s="13" t="n"/>
      <c r="N87" s="13" t="n"/>
      <c r="O87" s="13" t="n"/>
      <c r="P87" s="13" t="n"/>
      <c r="Q87" s="14">
        <f>IF(B87="","",IF(I87&lt;&gt;"","A+",IF(J87&lt;&gt;"","A-",IF(K87&lt;&gt;"","B+",IF(L87&lt;&gt;"","B-",IF(M87&lt;&gt;"","O+",IF(N87&lt;&gt;"","O-",IF(O87&lt;&gt;"","AB+",IF(P87&lt;&gt;"","AB-",""))))))))</f>
        <v/>
      </c>
      <c r="R87" s="13" t="n"/>
      <c r="S87" s="13" t="n"/>
      <c r="T87" s="13" t="n"/>
      <c r="U87" s="13" t="n"/>
      <c r="V87" s="13" t="n"/>
      <c r="W87" s="13" t="n"/>
      <c r="X87" s="14">
        <f>IF(B87="","",IF(R87&lt;&gt;"","/",IF(S87&lt;&gt;"","OPOW",IF(T87&lt;&gt;"","DJS",IF(U87&lt;&gt;"","FCS",IF(V87&lt;&gt;"","RCS",IF(W87&lt;&gt;"","POLICE","")))))))</f>
        <v/>
      </c>
      <c r="Y87" s="12" t="n"/>
      <c r="Z87" s="15">
        <f>IF(Y87="","",Y87+30)</f>
        <v/>
      </c>
      <c r="AA87" s="13" t="n"/>
      <c r="AB87" s="13" t="n"/>
      <c r="AC87" s="13" t="n"/>
      <c r="AD87" s="13" t="n"/>
      <c r="AE87" s="14">
        <f>IF(B87="","",IF(AA87&lt;&gt;"","مدفوع",IF(AB87&lt;&gt;"","لم يدفع",IF(AC87&lt;&gt;"","تأمين فقط",IF(AD87&lt;&gt;"","اشتراك 300","")))))</f>
        <v/>
      </c>
      <c r="AF87" s="16">
        <f>IF(OR(AE87="لم يدفع",B87=""),"",IF(OR(AE87="تأمين فقط",X87="FCS",X87="RCS"),0,IF(OR(AE87="اشتراك 300",X87="POLICE",X87="OPOW",X87="DJS"),300,IF(H87&lt;14,1300,1500))))</f>
        <v/>
      </c>
      <c r="AG87" s="16">
        <f>IF(OR(AE87="لم يدفع",B87=""),"",500)</f>
        <v/>
      </c>
      <c r="AH87" s="16">
        <f>IF(OR(AE87="لم يدفع",AE87="تأمين فقط",AE87="اشتراك 300",X87="OPOW",X87="DJS",X87="FCS",X87="RCS",X87="POLICE",B87=""),"",1000)</f>
        <v/>
      </c>
      <c r="AI87" s="17">
        <f>IF(AE87="لم يدفع","",IF(AF87="","",AF87+AG87))</f>
        <v/>
      </c>
      <c r="AJ87" s="18">
        <f>IF(B87="","",IF(AE87="لم يدفع","🔒 مجمدة",IF(Z87="","",IF(Z87&lt;TODAY(),"⛔ منتهي - يتطلب تجديد",IF(Z87-5&lt;=TODAY(),"⚠️ قريب الانتهاء","✅ ساري")))))</f>
        <v/>
      </c>
      <c r="AK87" s="13" t="n"/>
      <c r="AL87" s="13" t="n"/>
      <c r="AM87" s="13" t="n"/>
      <c r="AN87" s="13" t="n"/>
      <c r="AO87" s="14">
        <f>IF(B87="","",IF(AK87&lt;&gt;"","الأحد والأربعاء",IF(AL87&lt;&gt;"","الاثنين والخميس",IF(AM87&lt;&gt;"","الثلاثاء والجمعة",IF(AN87&lt;&gt;"","كل الأيام","")))))</f>
        <v/>
      </c>
      <c r="AP87" s="13" t="n"/>
      <c r="AQ87" s="13" t="n"/>
      <c r="AR87" s="13" t="n"/>
      <c r="AS87" s="13" t="n"/>
      <c r="AT87" s="14">
        <f>IF(B87="","",IF(AP87&lt;&gt;"","09:00-10:00",IF(AQ87&lt;&gt;"","10:00-11:00",IF(AR87&lt;&gt;"","19:00-20:00",IF(AS87&lt;&gt;"","20:00-21:00","")))))</f>
        <v/>
      </c>
      <c r="AU87" s="19">
        <f>IF(B87="","",COUNTA(التجديد!E87:E87))</f>
        <v/>
      </c>
    </row>
    <row r="88" ht="22" customHeight="1">
      <c r="A88" s="10">
        <f>IF(B88="","","RCS "&amp;TEXT(ROW()-2,"000"))</f>
        <v/>
      </c>
      <c r="B88" s="11" t="n"/>
      <c r="C88" s="11" t="n"/>
      <c r="D88" s="12" t="n"/>
      <c r="E88" s="13" t="n"/>
      <c r="F88" s="13" t="n"/>
      <c r="G88" s="14">
        <f>IF(B88="","",IF(E88&lt;&gt;"","ذكر",IF(F88&lt;&gt;"","أنثى","")))</f>
        <v/>
      </c>
      <c r="H88" s="14">
        <f>IF(D88="","",DATEDIF(D88,TODAY(),"Y"))</f>
        <v/>
      </c>
      <c r="I88" s="13" t="n"/>
      <c r="J88" s="13" t="n"/>
      <c r="K88" s="13" t="n"/>
      <c r="L88" s="13" t="n"/>
      <c r="M88" s="13" t="n"/>
      <c r="N88" s="13" t="n"/>
      <c r="O88" s="13" t="n"/>
      <c r="P88" s="13" t="n"/>
      <c r="Q88" s="14">
        <f>IF(B88="","",IF(I88&lt;&gt;"","A+",IF(J88&lt;&gt;"","A-",IF(K88&lt;&gt;"","B+",IF(L88&lt;&gt;"","B-",IF(M88&lt;&gt;"","O+",IF(N88&lt;&gt;"","O-",IF(O88&lt;&gt;"","AB+",IF(P88&lt;&gt;"","AB-",""))))))))</f>
        <v/>
      </c>
      <c r="R88" s="13" t="n"/>
      <c r="S88" s="13" t="n"/>
      <c r="T88" s="13" t="n"/>
      <c r="U88" s="13" t="n"/>
      <c r="V88" s="13" t="n"/>
      <c r="W88" s="13" t="n"/>
      <c r="X88" s="14">
        <f>IF(B88="","",IF(R88&lt;&gt;"","/",IF(S88&lt;&gt;"","OPOW",IF(T88&lt;&gt;"","DJS",IF(U88&lt;&gt;"","FCS",IF(V88&lt;&gt;"","RCS",IF(W88&lt;&gt;"","POLICE","")))))))</f>
        <v/>
      </c>
      <c r="Y88" s="12" t="n"/>
      <c r="Z88" s="15">
        <f>IF(Y88="","",Y88+30)</f>
        <v/>
      </c>
      <c r="AA88" s="13" t="n"/>
      <c r="AB88" s="13" t="n"/>
      <c r="AC88" s="13" t="n"/>
      <c r="AD88" s="13" t="n"/>
      <c r="AE88" s="14">
        <f>IF(B88="","",IF(AA88&lt;&gt;"","مدفوع",IF(AB88&lt;&gt;"","لم يدفع",IF(AC88&lt;&gt;"","تأمين فقط",IF(AD88&lt;&gt;"","اشتراك 300","")))))</f>
        <v/>
      </c>
      <c r="AF88" s="16">
        <f>IF(OR(AE88="لم يدفع",B88=""),"",IF(OR(AE88="تأمين فقط",X88="FCS",X88="RCS"),0,IF(OR(AE88="اشتراك 300",X88="POLICE",X88="OPOW",X88="DJS"),300,IF(H88&lt;14,1300,1500))))</f>
        <v/>
      </c>
      <c r="AG88" s="16">
        <f>IF(OR(AE88="لم يدفع",B88=""),"",500)</f>
        <v/>
      </c>
      <c r="AH88" s="16">
        <f>IF(OR(AE88="لم يدفع",AE88="تأمين فقط",AE88="اشتراك 300",X88="OPOW",X88="DJS",X88="FCS",X88="RCS",X88="POLICE",B88=""),"",1000)</f>
        <v/>
      </c>
      <c r="AI88" s="17">
        <f>IF(AE88="لم يدفع","",IF(AF88="","",AF88+AG88))</f>
        <v/>
      </c>
      <c r="AJ88" s="18">
        <f>IF(B88="","",IF(AE88="لم يدفع","🔒 مجمدة",IF(Z88="","",IF(Z88&lt;TODAY(),"⛔ منتهي - يتطلب تجديد",IF(Z88-5&lt;=TODAY(),"⚠️ قريب الانتهاء","✅ ساري")))))</f>
        <v/>
      </c>
      <c r="AK88" s="13" t="n"/>
      <c r="AL88" s="13" t="n"/>
      <c r="AM88" s="13" t="n"/>
      <c r="AN88" s="13" t="n"/>
      <c r="AO88" s="14">
        <f>IF(B88="","",IF(AK88&lt;&gt;"","الأحد والأربعاء",IF(AL88&lt;&gt;"","الاثنين والخميس",IF(AM88&lt;&gt;"","الثلاثاء والجمعة",IF(AN88&lt;&gt;"","كل الأيام","")))))</f>
        <v/>
      </c>
      <c r="AP88" s="13" t="n"/>
      <c r="AQ88" s="13" t="n"/>
      <c r="AR88" s="13" t="n"/>
      <c r="AS88" s="13" t="n"/>
      <c r="AT88" s="14">
        <f>IF(B88="","",IF(AP88&lt;&gt;"","09:00-10:00",IF(AQ88&lt;&gt;"","10:00-11:00",IF(AR88&lt;&gt;"","19:00-20:00",IF(AS88&lt;&gt;"","20:00-21:00","")))))</f>
        <v/>
      </c>
      <c r="AU88" s="19">
        <f>IF(B88="","",COUNTA(التجديد!E88:E88))</f>
        <v/>
      </c>
    </row>
    <row r="89" ht="22" customHeight="1">
      <c r="A89" s="10">
        <f>IF(B89="","","RCS "&amp;TEXT(ROW()-2,"000"))</f>
        <v/>
      </c>
      <c r="B89" s="11" t="n"/>
      <c r="C89" s="11" t="n"/>
      <c r="D89" s="12" t="n"/>
      <c r="E89" s="13" t="n"/>
      <c r="F89" s="13" t="n"/>
      <c r="G89" s="14">
        <f>IF(B89="","",IF(E89&lt;&gt;"","ذكر",IF(F89&lt;&gt;"","أنثى","")))</f>
        <v/>
      </c>
      <c r="H89" s="14">
        <f>IF(D89="","",DATEDIF(D89,TODAY(),"Y"))</f>
        <v/>
      </c>
      <c r="I89" s="13" t="n"/>
      <c r="J89" s="13" t="n"/>
      <c r="K89" s="13" t="n"/>
      <c r="L89" s="13" t="n"/>
      <c r="M89" s="13" t="n"/>
      <c r="N89" s="13" t="n"/>
      <c r="O89" s="13" t="n"/>
      <c r="P89" s="13" t="n"/>
      <c r="Q89" s="14">
        <f>IF(B89="","",IF(I89&lt;&gt;"","A+",IF(J89&lt;&gt;"","A-",IF(K89&lt;&gt;"","B+",IF(L89&lt;&gt;"","B-",IF(M89&lt;&gt;"","O+",IF(N89&lt;&gt;"","O-",IF(O89&lt;&gt;"","AB+",IF(P89&lt;&gt;"","AB-",""))))))))</f>
        <v/>
      </c>
      <c r="R89" s="13" t="n"/>
      <c r="S89" s="13" t="n"/>
      <c r="T89" s="13" t="n"/>
      <c r="U89" s="13" t="n"/>
      <c r="V89" s="13" t="n"/>
      <c r="W89" s="13" t="n"/>
      <c r="X89" s="14">
        <f>IF(B89="","",IF(R89&lt;&gt;"","/",IF(S89&lt;&gt;"","OPOW",IF(T89&lt;&gt;"","DJS",IF(U89&lt;&gt;"","FCS",IF(V89&lt;&gt;"","RCS",IF(W89&lt;&gt;"","POLICE","")))))))</f>
        <v/>
      </c>
      <c r="Y89" s="12" t="n"/>
      <c r="Z89" s="15">
        <f>IF(Y89="","",Y89+30)</f>
        <v/>
      </c>
      <c r="AA89" s="13" t="n"/>
      <c r="AB89" s="13" t="n"/>
      <c r="AC89" s="13" t="n"/>
      <c r="AD89" s="13" t="n"/>
      <c r="AE89" s="14">
        <f>IF(B89="","",IF(AA89&lt;&gt;"","مدفوع",IF(AB89&lt;&gt;"","لم يدفع",IF(AC89&lt;&gt;"","تأمين فقط",IF(AD89&lt;&gt;"","اشتراك 300","")))))</f>
        <v/>
      </c>
      <c r="AF89" s="16">
        <f>IF(OR(AE89="لم يدفع",B89=""),"",IF(OR(AE89="تأمين فقط",X89="FCS",X89="RCS"),0,IF(OR(AE89="اشتراك 300",X89="POLICE",X89="OPOW",X89="DJS"),300,IF(H89&lt;14,1300,1500))))</f>
        <v/>
      </c>
      <c r="AG89" s="16">
        <f>IF(OR(AE89="لم يدفع",B89=""),"",500)</f>
        <v/>
      </c>
      <c r="AH89" s="16">
        <f>IF(OR(AE89="لم يدفع",AE89="تأمين فقط",AE89="اشتراك 300",X89="OPOW",X89="DJS",X89="FCS",X89="RCS",X89="POLICE",B89=""),"",1000)</f>
        <v/>
      </c>
      <c r="AI89" s="17">
        <f>IF(AE89="لم يدفع","",IF(AF89="","",AF89+AG89))</f>
        <v/>
      </c>
      <c r="AJ89" s="18">
        <f>IF(B89="","",IF(AE89="لم يدفع","🔒 مجمدة",IF(Z89="","",IF(Z89&lt;TODAY(),"⛔ منتهي - يتطلب تجديد",IF(Z89-5&lt;=TODAY(),"⚠️ قريب الانتهاء","✅ ساري")))))</f>
        <v/>
      </c>
      <c r="AK89" s="13" t="n"/>
      <c r="AL89" s="13" t="n"/>
      <c r="AM89" s="13" t="n"/>
      <c r="AN89" s="13" t="n"/>
      <c r="AO89" s="14">
        <f>IF(B89="","",IF(AK89&lt;&gt;"","الأحد والأربعاء",IF(AL89&lt;&gt;"","الاثنين والخميس",IF(AM89&lt;&gt;"","الثلاثاء والجمعة",IF(AN89&lt;&gt;"","كل الأيام","")))))</f>
        <v/>
      </c>
      <c r="AP89" s="13" t="n"/>
      <c r="AQ89" s="13" t="n"/>
      <c r="AR89" s="13" t="n"/>
      <c r="AS89" s="13" t="n"/>
      <c r="AT89" s="14">
        <f>IF(B89="","",IF(AP89&lt;&gt;"","09:00-10:00",IF(AQ89&lt;&gt;"","10:00-11:00",IF(AR89&lt;&gt;"","19:00-20:00",IF(AS89&lt;&gt;"","20:00-21:00","")))))</f>
        <v/>
      </c>
      <c r="AU89" s="19">
        <f>IF(B89="","",COUNTA(التجديد!E89:E89))</f>
        <v/>
      </c>
    </row>
    <row r="90" ht="22" customHeight="1">
      <c r="A90" s="10">
        <f>IF(B90="","","RCS "&amp;TEXT(ROW()-2,"000"))</f>
        <v/>
      </c>
      <c r="B90" s="11" t="n"/>
      <c r="C90" s="11" t="n"/>
      <c r="D90" s="12" t="n"/>
      <c r="E90" s="13" t="n"/>
      <c r="F90" s="13" t="n"/>
      <c r="G90" s="14">
        <f>IF(B90="","",IF(E90&lt;&gt;"","ذكر",IF(F90&lt;&gt;"","أنثى","")))</f>
        <v/>
      </c>
      <c r="H90" s="14">
        <f>IF(D90="","",DATEDIF(D90,TODAY(),"Y"))</f>
        <v/>
      </c>
      <c r="I90" s="13" t="n"/>
      <c r="J90" s="13" t="n"/>
      <c r="K90" s="13" t="n"/>
      <c r="L90" s="13" t="n"/>
      <c r="M90" s="13" t="n"/>
      <c r="N90" s="13" t="n"/>
      <c r="O90" s="13" t="n"/>
      <c r="P90" s="13" t="n"/>
      <c r="Q90" s="14">
        <f>IF(B90="","",IF(I90&lt;&gt;"","A+",IF(J90&lt;&gt;"","A-",IF(K90&lt;&gt;"","B+",IF(L90&lt;&gt;"","B-",IF(M90&lt;&gt;"","O+",IF(N90&lt;&gt;"","O-",IF(O90&lt;&gt;"","AB+",IF(P90&lt;&gt;"","AB-",""))))))))</f>
        <v/>
      </c>
      <c r="R90" s="13" t="n"/>
      <c r="S90" s="13" t="n"/>
      <c r="T90" s="13" t="n"/>
      <c r="U90" s="13" t="n"/>
      <c r="V90" s="13" t="n"/>
      <c r="W90" s="13" t="n"/>
      <c r="X90" s="14">
        <f>IF(B90="","",IF(R90&lt;&gt;"","/",IF(S90&lt;&gt;"","OPOW",IF(T90&lt;&gt;"","DJS",IF(U90&lt;&gt;"","FCS",IF(V90&lt;&gt;"","RCS",IF(W90&lt;&gt;"","POLICE","")))))))</f>
        <v/>
      </c>
      <c r="Y90" s="12" t="n"/>
      <c r="Z90" s="15">
        <f>IF(Y90="","",Y90+30)</f>
        <v/>
      </c>
      <c r="AA90" s="13" t="n"/>
      <c r="AB90" s="13" t="n"/>
      <c r="AC90" s="13" t="n"/>
      <c r="AD90" s="13" t="n"/>
      <c r="AE90" s="14">
        <f>IF(B90="","",IF(AA90&lt;&gt;"","مدفوع",IF(AB90&lt;&gt;"","لم يدفع",IF(AC90&lt;&gt;"","تأمين فقط",IF(AD90&lt;&gt;"","اشتراك 300","")))))</f>
        <v/>
      </c>
      <c r="AF90" s="16">
        <f>IF(OR(AE90="لم يدفع",B90=""),"",IF(OR(AE90="تأمين فقط",X90="FCS",X90="RCS"),0,IF(OR(AE90="اشتراك 300",X90="POLICE",X90="OPOW",X90="DJS"),300,IF(H90&lt;14,1300,1500))))</f>
        <v/>
      </c>
      <c r="AG90" s="16">
        <f>IF(OR(AE90="لم يدفع",B90=""),"",500)</f>
        <v/>
      </c>
      <c r="AH90" s="16">
        <f>IF(OR(AE90="لم يدفع",AE90="تأمين فقط",AE90="اشتراك 300",X90="OPOW",X90="DJS",X90="FCS",X90="RCS",X90="POLICE",B90=""),"",1000)</f>
        <v/>
      </c>
      <c r="AI90" s="17">
        <f>IF(AE90="لم يدفع","",IF(AF90="","",AF90+AG90))</f>
        <v/>
      </c>
      <c r="AJ90" s="18">
        <f>IF(B90="","",IF(AE90="لم يدفع","🔒 مجمدة",IF(Z90="","",IF(Z90&lt;TODAY(),"⛔ منتهي - يتطلب تجديد",IF(Z90-5&lt;=TODAY(),"⚠️ قريب الانتهاء","✅ ساري")))))</f>
        <v/>
      </c>
      <c r="AK90" s="13" t="n"/>
      <c r="AL90" s="13" t="n"/>
      <c r="AM90" s="13" t="n"/>
      <c r="AN90" s="13" t="n"/>
      <c r="AO90" s="14">
        <f>IF(B90="","",IF(AK90&lt;&gt;"","الأحد والأربعاء",IF(AL90&lt;&gt;"","الاثنين والخميس",IF(AM90&lt;&gt;"","الثلاثاء والجمعة",IF(AN90&lt;&gt;"","كل الأيام","")))))</f>
        <v/>
      </c>
      <c r="AP90" s="13" t="n"/>
      <c r="AQ90" s="13" t="n"/>
      <c r="AR90" s="13" t="n"/>
      <c r="AS90" s="13" t="n"/>
      <c r="AT90" s="14">
        <f>IF(B90="","",IF(AP90&lt;&gt;"","09:00-10:00",IF(AQ90&lt;&gt;"","10:00-11:00",IF(AR90&lt;&gt;"","19:00-20:00",IF(AS90&lt;&gt;"","20:00-21:00","")))))</f>
        <v/>
      </c>
      <c r="AU90" s="19">
        <f>IF(B90="","",COUNTA(التجديد!E90:E90))</f>
        <v/>
      </c>
    </row>
    <row r="91" ht="22" customHeight="1">
      <c r="A91" s="10">
        <f>IF(B91="","","RCS "&amp;TEXT(ROW()-2,"000"))</f>
        <v/>
      </c>
      <c r="B91" s="11" t="n"/>
      <c r="C91" s="11" t="n"/>
      <c r="D91" s="12" t="n"/>
      <c r="E91" s="13" t="n"/>
      <c r="F91" s="13" t="n"/>
      <c r="G91" s="14">
        <f>IF(B91="","",IF(E91&lt;&gt;"","ذكر",IF(F91&lt;&gt;"","أنثى","")))</f>
        <v/>
      </c>
      <c r="H91" s="14">
        <f>IF(D91="","",DATEDIF(D91,TODAY(),"Y"))</f>
        <v/>
      </c>
      <c r="I91" s="13" t="n"/>
      <c r="J91" s="13" t="n"/>
      <c r="K91" s="13" t="n"/>
      <c r="L91" s="13" t="n"/>
      <c r="M91" s="13" t="n"/>
      <c r="N91" s="13" t="n"/>
      <c r="O91" s="13" t="n"/>
      <c r="P91" s="13" t="n"/>
      <c r="Q91" s="14">
        <f>IF(B91="","",IF(I91&lt;&gt;"","A+",IF(J91&lt;&gt;"","A-",IF(K91&lt;&gt;"","B+",IF(L91&lt;&gt;"","B-",IF(M91&lt;&gt;"","O+",IF(N91&lt;&gt;"","O-",IF(O91&lt;&gt;"","AB+",IF(P91&lt;&gt;"","AB-",""))))))))</f>
        <v/>
      </c>
      <c r="R91" s="13" t="n"/>
      <c r="S91" s="13" t="n"/>
      <c r="T91" s="13" t="n"/>
      <c r="U91" s="13" t="n"/>
      <c r="V91" s="13" t="n"/>
      <c r="W91" s="13" t="n"/>
      <c r="X91" s="14">
        <f>IF(B91="","",IF(R91&lt;&gt;"","/",IF(S91&lt;&gt;"","OPOW",IF(T91&lt;&gt;"","DJS",IF(U91&lt;&gt;"","FCS",IF(V91&lt;&gt;"","RCS",IF(W91&lt;&gt;"","POLICE","")))))))</f>
        <v/>
      </c>
      <c r="Y91" s="12" t="n"/>
      <c r="Z91" s="15">
        <f>IF(Y91="","",Y91+30)</f>
        <v/>
      </c>
      <c r="AA91" s="13" t="n"/>
      <c r="AB91" s="13" t="n"/>
      <c r="AC91" s="13" t="n"/>
      <c r="AD91" s="13" t="n"/>
      <c r="AE91" s="14">
        <f>IF(B91="","",IF(AA91&lt;&gt;"","مدفوع",IF(AB91&lt;&gt;"","لم يدفع",IF(AC91&lt;&gt;"","تأمين فقط",IF(AD91&lt;&gt;"","اشتراك 300","")))))</f>
        <v/>
      </c>
      <c r="AF91" s="16">
        <f>IF(OR(AE91="لم يدفع",B91=""),"",IF(OR(AE91="تأمين فقط",X91="FCS",X91="RCS"),0,IF(OR(AE91="اشتراك 300",X91="POLICE",X91="OPOW",X91="DJS"),300,IF(H91&lt;14,1300,1500))))</f>
        <v/>
      </c>
      <c r="AG91" s="16">
        <f>IF(OR(AE91="لم يدفع",B91=""),"",500)</f>
        <v/>
      </c>
      <c r="AH91" s="16">
        <f>IF(OR(AE91="لم يدفع",AE91="تأمين فقط",AE91="اشتراك 300",X91="OPOW",X91="DJS",X91="FCS",X91="RCS",X91="POLICE",B91=""),"",1000)</f>
        <v/>
      </c>
      <c r="AI91" s="17">
        <f>IF(AE91="لم يدفع","",IF(AF91="","",AF91+AG91))</f>
        <v/>
      </c>
      <c r="AJ91" s="18">
        <f>IF(B91="","",IF(AE91="لم يدفع","🔒 مجمدة",IF(Z91="","",IF(Z91&lt;TODAY(),"⛔ منتهي - يتطلب تجديد",IF(Z91-5&lt;=TODAY(),"⚠️ قريب الانتهاء","✅ ساري")))))</f>
        <v/>
      </c>
      <c r="AK91" s="13" t="n"/>
      <c r="AL91" s="13" t="n"/>
      <c r="AM91" s="13" t="n"/>
      <c r="AN91" s="13" t="n"/>
      <c r="AO91" s="14">
        <f>IF(B91="","",IF(AK91&lt;&gt;"","الأحد والأربعاء",IF(AL91&lt;&gt;"","الاثنين والخميس",IF(AM91&lt;&gt;"","الثلاثاء والجمعة",IF(AN91&lt;&gt;"","كل الأيام","")))))</f>
        <v/>
      </c>
      <c r="AP91" s="13" t="n"/>
      <c r="AQ91" s="13" t="n"/>
      <c r="AR91" s="13" t="n"/>
      <c r="AS91" s="13" t="n"/>
      <c r="AT91" s="14">
        <f>IF(B91="","",IF(AP91&lt;&gt;"","09:00-10:00",IF(AQ91&lt;&gt;"","10:00-11:00",IF(AR91&lt;&gt;"","19:00-20:00",IF(AS91&lt;&gt;"","20:00-21:00","")))))</f>
        <v/>
      </c>
      <c r="AU91" s="19">
        <f>IF(B91="","",COUNTA(التجديد!E91:E91))</f>
        <v/>
      </c>
    </row>
    <row r="92" ht="22" customHeight="1">
      <c r="A92" s="10">
        <f>IF(B92="","","RCS "&amp;TEXT(ROW()-2,"000"))</f>
        <v/>
      </c>
      <c r="B92" s="11" t="n"/>
      <c r="C92" s="11" t="n"/>
      <c r="D92" s="12" t="n"/>
      <c r="E92" s="13" t="n"/>
      <c r="F92" s="13" t="n"/>
      <c r="G92" s="14">
        <f>IF(B92="","",IF(E92&lt;&gt;"","ذكر",IF(F92&lt;&gt;"","أنثى","")))</f>
        <v/>
      </c>
      <c r="H92" s="14">
        <f>IF(D92="","",DATEDIF(D92,TODAY(),"Y"))</f>
        <v/>
      </c>
      <c r="I92" s="13" t="n"/>
      <c r="J92" s="13" t="n"/>
      <c r="K92" s="13" t="n"/>
      <c r="L92" s="13" t="n"/>
      <c r="M92" s="13" t="n"/>
      <c r="N92" s="13" t="n"/>
      <c r="O92" s="13" t="n"/>
      <c r="P92" s="13" t="n"/>
      <c r="Q92" s="14">
        <f>IF(B92="","",IF(I92&lt;&gt;"","A+",IF(J92&lt;&gt;"","A-",IF(K92&lt;&gt;"","B+",IF(L92&lt;&gt;"","B-",IF(M92&lt;&gt;"","O+",IF(N92&lt;&gt;"","O-",IF(O92&lt;&gt;"","AB+",IF(P92&lt;&gt;"","AB-",""))))))))</f>
        <v/>
      </c>
      <c r="R92" s="13" t="n"/>
      <c r="S92" s="13" t="n"/>
      <c r="T92" s="13" t="n"/>
      <c r="U92" s="13" t="n"/>
      <c r="V92" s="13" t="n"/>
      <c r="W92" s="13" t="n"/>
      <c r="X92" s="14">
        <f>IF(B92="","",IF(R92&lt;&gt;"","/",IF(S92&lt;&gt;"","OPOW",IF(T92&lt;&gt;"","DJS",IF(U92&lt;&gt;"","FCS",IF(V92&lt;&gt;"","RCS",IF(W92&lt;&gt;"","POLICE","")))))))</f>
        <v/>
      </c>
      <c r="Y92" s="12" t="n"/>
      <c r="Z92" s="15">
        <f>IF(Y92="","",Y92+30)</f>
        <v/>
      </c>
      <c r="AA92" s="13" t="n"/>
      <c r="AB92" s="13" t="n"/>
      <c r="AC92" s="13" t="n"/>
      <c r="AD92" s="13" t="n"/>
      <c r="AE92" s="14">
        <f>IF(B92="","",IF(AA92&lt;&gt;"","مدفوع",IF(AB92&lt;&gt;"","لم يدفع",IF(AC92&lt;&gt;"","تأمين فقط",IF(AD92&lt;&gt;"","اشتراك 300","")))))</f>
        <v/>
      </c>
      <c r="AF92" s="16">
        <f>IF(OR(AE92="لم يدفع",B92=""),"",IF(OR(AE92="تأمين فقط",X92="FCS",X92="RCS"),0,IF(OR(AE92="اشتراك 300",X92="POLICE",X92="OPOW",X92="DJS"),300,IF(H92&lt;14,1300,1500))))</f>
        <v/>
      </c>
      <c r="AG92" s="16">
        <f>IF(OR(AE92="لم يدفع",B92=""),"",500)</f>
        <v/>
      </c>
      <c r="AH92" s="16">
        <f>IF(OR(AE92="لم يدفع",AE92="تأمين فقط",AE92="اشتراك 300",X92="OPOW",X92="DJS",X92="FCS",X92="RCS",X92="POLICE",B92=""),"",1000)</f>
        <v/>
      </c>
      <c r="AI92" s="17">
        <f>IF(AE92="لم يدفع","",IF(AF92="","",AF92+AG92))</f>
        <v/>
      </c>
      <c r="AJ92" s="18">
        <f>IF(B92="","",IF(AE92="لم يدفع","🔒 مجمدة",IF(Z92="","",IF(Z92&lt;TODAY(),"⛔ منتهي - يتطلب تجديد",IF(Z92-5&lt;=TODAY(),"⚠️ قريب الانتهاء","✅ ساري")))))</f>
        <v/>
      </c>
      <c r="AK92" s="13" t="n"/>
      <c r="AL92" s="13" t="n"/>
      <c r="AM92" s="13" t="n"/>
      <c r="AN92" s="13" t="n"/>
      <c r="AO92" s="14">
        <f>IF(B92="","",IF(AK92&lt;&gt;"","الأحد والأربعاء",IF(AL92&lt;&gt;"","الاثنين والخميس",IF(AM92&lt;&gt;"","الثلاثاء والجمعة",IF(AN92&lt;&gt;"","كل الأيام","")))))</f>
        <v/>
      </c>
      <c r="AP92" s="13" t="n"/>
      <c r="AQ92" s="13" t="n"/>
      <c r="AR92" s="13" t="n"/>
      <c r="AS92" s="13" t="n"/>
      <c r="AT92" s="14">
        <f>IF(B92="","",IF(AP92&lt;&gt;"","09:00-10:00",IF(AQ92&lt;&gt;"","10:00-11:00",IF(AR92&lt;&gt;"","19:00-20:00",IF(AS92&lt;&gt;"","20:00-21:00","")))))</f>
        <v/>
      </c>
      <c r="AU92" s="19">
        <f>IF(B92="","",COUNTA(التجديد!E92:E92))</f>
        <v/>
      </c>
    </row>
    <row r="93" ht="22" customHeight="1">
      <c r="A93" s="10">
        <f>IF(B93="","","RCS "&amp;TEXT(ROW()-2,"000"))</f>
        <v/>
      </c>
      <c r="B93" s="11" t="n"/>
      <c r="C93" s="11" t="n"/>
      <c r="D93" s="12" t="n"/>
      <c r="E93" s="13" t="n"/>
      <c r="F93" s="13" t="n"/>
      <c r="G93" s="14">
        <f>IF(B93="","",IF(E93&lt;&gt;"","ذكر",IF(F93&lt;&gt;"","أنثى","")))</f>
        <v/>
      </c>
      <c r="H93" s="14">
        <f>IF(D93="","",DATEDIF(D93,TODAY(),"Y"))</f>
        <v/>
      </c>
      <c r="I93" s="13" t="n"/>
      <c r="J93" s="13" t="n"/>
      <c r="K93" s="13" t="n"/>
      <c r="L93" s="13" t="n"/>
      <c r="M93" s="13" t="n"/>
      <c r="N93" s="13" t="n"/>
      <c r="O93" s="13" t="n"/>
      <c r="P93" s="13" t="n"/>
      <c r="Q93" s="14">
        <f>IF(B93="","",IF(I93&lt;&gt;"","A+",IF(J93&lt;&gt;"","A-",IF(K93&lt;&gt;"","B+",IF(L93&lt;&gt;"","B-",IF(M93&lt;&gt;"","O+",IF(N93&lt;&gt;"","O-",IF(O93&lt;&gt;"","AB+",IF(P93&lt;&gt;"","AB-",""))))))))</f>
        <v/>
      </c>
      <c r="R93" s="13" t="n"/>
      <c r="S93" s="13" t="n"/>
      <c r="T93" s="13" t="n"/>
      <c r="U93" s="13" t="n"/>
      <c r="V93" s="13" t="n"/>
      <c r="W93" s="13" t="n"/>
      <c r="X93" s="14">
        <f>IF(B93="","",IF(R93&lt;&gt;"","/",IF(S93&lt;&gt;"","OPOW",IF(T93&lt;&gt;"","DJS",IF(U93&lt;&gt;"","FCS",IF(V93&lt;&gt;"","RCS",IF(W93&lt;&gt;"","POLICE","")))))))</f>
        <v/>
      </c>
      <c r="Y93" s="12" t="n"/>
      <c r="Z93" s="15">
        <f>IF(Y93="","",Y93+30)</f>
        <v/>
      </c>
      <c r="AA93" s="13" t="n"/>
      <c r="AB93" s="13" t="n"/>
      <c r="AC93" s="13" t="n"/>
      <c r="AD93" s="13" t="n"/>
      <c r="AE93" s="14">
        <f>IF(B93="","",IF(AA93&lt;&gt;"","مدفوع",IF(AB93&lt;&gt;"","لم يدفع",IF(AC93&lt;&gt;"","تأمين فقط",IF(AD93&lt;&gt;"","اشتراك 300","")))))</f>
        <v/>
      </c>
      <c r="AF93" s="16">
        <f>IF(OR(AE93="لم يدفع",B93=""),"",IF(OR(AE93="تأمين فقط",X93="FCS",X93="RCS"),0,IF(OR(AE93="اشتراك 300",X93="POLICE",X93="OPOW",X93="DJS"),300,IF(H93&lt;14,1300,1500))))</f>
        <v/>
      </c>
      <c r="AG93" s="16">
        <f>IF(OR(AE93="لم يدفع",B93=""),"",500)</f>
        <v/>
      </c>
      <c r="AH93" s="16">
        <f>IF(OR(AE93="لم يدفع",AE93="تأمين فقط",AE93="اشتراك 300",X93="OPOW",X93="DJS",X93="FCS",X93="RCS",X93="POLICE",B93=""),"",1000)</f>
        <v/>
      </c>
      <c r="AI93" s="17">
        <f>IF(AE93="لم يدفع","",IF(AF93="","",AF93+AG93))</f>
        <v/>
      </c>
      <c r="AJ93" s="18">
        <f>IF(B93="","",IF(AE93="لم يدفع","🔒 مجمدة",IF(Z93="","",IF(Z93&lt;TODAY(),"⛔ منتهي - يتطلب تجديد",IF(Z93-5&lt;=TODAY(),"⚠️ قريب الانتهاء","✅ ساري")))))</f>
        <v/>
      </c>
      <c r="AK93" s="13" t="n"/>
      <c r="AL93" s="13" t="n"/>
      <c r="AM93" s="13" t="n"/>
      <c r="AN93" s="13" t="n"/>
      <c r="AO93" s="14">
        <f>IF(B93="","",IF(AK93&lt;&gt;"","الأحد والأربعاء",IF(AL93&lt;&gt;"","الاثنين والخميس",IF(AM93&lt;&gt;"","الثلاثاء والجمعة",IF(AN93&lt;&gt;"","كل الأيام","")))))</f>
        <v/>
      </c>
      <c r="AP93" s="13" t="n"/>
      <c r="AQ93" s="13" t="n"/>
      <c r="AR93" s="13" t="n"/>
      <c r="AS93" s="13" t="n"/>
      <c r="AT93" s="14">
        <f>IF(B93="","",IF(AP93&lt;&gt;"","09:00-10:00",IF(AQ93&lt;&gt;"","10:00-11:00",IF(AR93&lt;&gt;"","19:00-20:00",IF(AS93&lt;&gt;"","20:00-21:00","")))))</f>
        <v/>
      </c>
      <c r="AU93" s="19">
        <f>IF(B93="","",COUNTA(التجديد!E93:E93))</f>
        <v/>
      </c>
    </row>
    <row r="94" ht="22" customHeight="1">
      <c r="A94" s="10">
        <f>IF(B94="","","RCS "&amp;TEXT(ROW()-2,"000"))</f>
        <v/>
      </c>
      <c r="B94" s="11" t="n"/>
      <c r="C94" s="11" t="n"/>
      <c r="D94" s="12" t="n"/>
      <c r="E94" s="13" t="n"/>
      <c r="F94" s="13" t="n"/>
      <c r="G94" s="14">
        <f>IF(B94="","",IF(E94&lt;&gt;"","ذكر",IF(F94&lt;&gt;"","أنثى","")))</f>
        <v/>
      </c>
      <c r="H94" s="14">
        <f>IF(D94="","",DATEDIF(D94,TODAY(),"Y"))</f>
        <v/>
      </c>
      <c r="I94" s="13" t="n"/>
      <c r="J94" s="13" t="n"/>
      <c r="K94" s="13" t="n"/>
      <c r="L94" s="13" t="n"/>
      <c r="M94" s="13" t="n"/>
      <c r="N94" s="13" t="n"/>
      <c r="O94" s="13" t="n"/>
      <c r="P94" s="13" t="n"/>
      <c r="Q94" s="14">
        <f>IF(B94="","",IF(I94&lt;&gt;"","A+",IF(J94&lt;&gt;"","A-",IF(K94&lt;&gt;"","B+",IF(L94&lt;&gt;"","B-",IF(M94&lt;&gt;"","O+",IF(N94&lt;&gt;"","O-",IF(O94&lt;&gt;"","AB+",IF(P94&lt;&gt;"","AB-",""))))))))</f>
        <v/>
      </c>
      <c r="R94" s="13" t="n"/>
      <c r="S94" s="13" t="n"/>
      <c r="T94" s="13" t="n"/>
      <c r="U94" s="13" t="n"/>
      <c r="V94" s="13" t="n"/>
      <c r="W94" s="13" t="n"/>
      <c r="X94" s="14">
        <f>IF(B94="","",IF(R94&lt;&gt;"","/",IF(S94&lt;&gt;"","OPOW",IF(T94&lt;&gt;"","DJS",IF(U94&lt;&gt;"","FCS",IF(V94&lt;&gt;"","RCS",IF(W94&lt;&gt;"","POLICE","")))))))</f>
        <v/>
      </c>
      <c r="Y94" s="12" t="n"/>
      <c r="Z94" s="15">
        <f>IF(Y94="","",Y94+30)</f>
        <v/>
      </c>
      <c r="AA94" s="13" t="n"/>
      <c r="AB94" s="13" t="n"/>
      <c r="AC94" s="13" t="n"/>
      <c r="AD94" s="13" t="n"/>
      <c r="AE94" s="14">
        <f>IF(B94="","",IF(AA94&lt;&gt;"","مدفوع",IF(AB94&lt;&gt;"","لم يدفع",IF(AC94&lt;&gt;"","تأمين فقط",IF(AD94&lt;&gt;"","اشتراك 300","")))))</f>
        <v/>
      </c>
      <c r="AF94" s="16">
        <f>IF(OR(AE94="لم يدفع",B94=""),"",IF(OR(AE94="تأمين فقط",X94="FCS",X94="RCS"),0,IF(OR(AE94="اشتراك 300",X94="POLICE",X94="OPOW",X94="DJS"),300,IF(H94&lt;14,1300,1500))))</f>
        <v/>
      </c>
      <c r="AG94" s="16">
        <f>IF(OR(AE94="لم يدفع",B94=""),"",500)</f>
        <v/>
      </c>
      <c r="AH94" s="16">
        <f>IF(OR(AE94="لم يدفع",AE94="تأمين فقط",AE94="اشتراك 300",X94="OPOW",X94="DJS",X94="FCS",X94="RCS",X94="POLICE",B94=""),"",1000)</f>
        <v/>
      </c>
      <c r="AI94" s="17">
        <f>IF(AE94="لم يدفع","",IF(AF94="","",AF94+AG94))</f>
        <v/>
      </c>
      <c r="AJ94" s="18">
        <f>IF(B94="","",IF(AE94="لم يدفع","🔒 مجمدة",IF(Z94="","",IF(Z94&lt;TODAY(),"⛔ منتهي - يتطلب تجديد",IF(Z94-5&lt;=TODAY(),"⚠️ قريب الانتهاء","✅ ساري")))))</f>
        <v/>
      </c>
      <c r="AK94" s="13" t="n"/>
      <c r="AL94" s="13" t="n"/>
      <c r="AM94" s="13" t="n"/>
      <c r="AN94" s="13" t="n"/>
      <c r="AO94" s="14">
        <f>IF(B94="","",IF(AK94&lt;&gt;"","الأحد والأربعاء",IF(AL94&lt;&gt;"","الاثنين والخميس",IF(AM94&lt;&gt;"","الثلاثاء والجمعة",IF(AN94&lt;&gt;"","كل الأيام","")))))</f>
        <v/>
      </c>
      <c r="AP94" s="13" t="n"/>
      <c r="AQ94" s="13" t="n"/>
      <c r="AR94" s="13" t="n"/>
      <c r="AS94" s="13" t="n"/>
      <c r="AT94" s="14">
        <f>IF(B94="","",IF(AP94&lt;&gt;"","09:00-10:00",IF(AQ94&lt;&gt;"","10:00-11:00",IF(AR94&lt;&gt;"","19:00-20:00",IF(AS94&lt;&gt;"","20:00-21:00","")))))</f>
        <v/>
      </c>
      <c r="AU94" s="19">
        <f>IF(B94="","",COUNTA(التجديد!E94:E94))</f>
        <v/>
      </c>
    </row>
    <row r="95" ht="22" customHeight="1">
      <c r="A95" s="10">
        <f>IF(B95="","","RCS "&amp;TEXT(ROW()-2,"000"))</f>
        <v/>
      </c>
      <c r="B95" s="11" t="n"/>
      <c r="C95" s="11" t="n"/>
      <c r="D95" s="12" t="n"/>
      <c r="E95" s="13" t="n"/>
      <c r="F95" s="13" t="n"/>
      <c r="G95" s="14">
        <f>IF(B95="","",IF(E95&lt;&gt;"","ذكر",IF(F95&lt;&gt;"","أنثى","")))</f>
        <v/>
      </c>
      <c r="H95" s="14">
        <f>IF(D95="","",DATEDIF(D95,TODAY(),"Y"))</f>
        <v/>
      </c>
      <c r="I95" s="13" t="n"/>
      <c r="J95" s="13" t="n"/>
      <c r="K95" s="13" t="n"/>
      <c r="L95" s="13" t="n"/>
      <c r="M95" s="13" t="n"/>
      <c r="N95" s="13" t="n"/>
      <c r="O95" s="13" t="n"/>
      <c r="P95" s="13" t="n"/>
      <c r="Q95" s="14">
        <f>IF(B95="","",IF(I95&lt;&gt;"","A+",IF(J95&lt;&gt;"","A-",IF(K95&lt;&gt;"","B+",IF(L95&lt;&gt;"","B-",IF(M95&lt;&gt;"","O+",IF(N95&lt;&gt;"","O-",IF(O95&lt;&gt;"","AB+",IF(P95&lt;&gt;"","AB-",""))))))))</f>
        <v/>
      </c>
      <c r="R95" s="13" t="n"/>
      <c r="S95" s="13" t="n"/>
      <c r="T95" s="13" t="n"/>
      <c r="U95" s="13" t="n"/>
      <c r="V95" s="13" t="n"/>
      <c r="W95" s="13" t="n"/>
      <c r="X95" s="14">
        <f>IF(B95="","",IF(R95&lt;&gt;"","/",IF(S95&lt;&gt;"","OPOW",IF(T95&lt;&gt;"","DJS",IF(U95&lt;&gt;"","FCS",IF(V95&lt;&gt;"","RCS",IF(W95&lt;&gt;"","POLICE","")))))))</f>
        <v/>
      </c>
      <c r="Y95" s="12" t="n"/>
      <c r="Z95" s="15">
        <f>IF(Y95="","",Y95+30)</f>
        <v/>
      </c>
      <c r="AA95" s="13" t="n"/>
      <c r="AB95" s="13" t="n"/>
      <c r="AC95" s="13" t="n"/>
      <c r="AD95" s="13" t="n"/>
      <c r="AE95" s="14">
        <f>IF(B95="","",IF(AA95&lt;&gt;"","مدفوع",IF(AB95&lt;&gt;"","لم يدفع",IF(AC95&lt;&gt;"","تأمين فقط",IF(AD95&lt;&gt;"","اشتراك 300","")))))</f>
        <v/>
      </c>
      <c r="AF95" s="16">
        <f>IF(OR(AE95="لم يدفع",B95=""),"",IF(OR(AE95="تأمين فقط",X95="FCS",X95="RCS"),0,IF(OR(AE95="اشتراك 300",X95="POLICE",X95="OPOW",X95="DJS"),300,IF(H95&lt;14,1300,1500))))</f>
        <v/>
      </c>
      <c r="AG95" s="16">
        <f>IF(OR(AE95="لم يدفع",B95=""),"",500)</f>
        <v/>
      </c>
      <c r="AH95" s="16">
        <f>IF(OR(AE95="لم يدفع",AE95="تأمين فقط",AE95="اشتراك 300",X95="OPOW",X95="DJS",X95="FCS",X95="RCS",X95="POLICE",B95=""),"",1000)</f>
        <v/>
      </c>
      <c r="AI95" s="17">
        <f>IF(AE95="لم يدفع","",IF(AF95="","",AF95+AG95))</f>
        <v/>
      </c>
      <c r="AJ95" s="18">
        <f>IF(B95="","",IF(AE95="لم يدفع","🔒 مجمدة",IF(Z95="","",IF(Z95&lt;TODAY(),"⛔ منتهي - يتطلب تجديد",IF(Z95-5&lt;=TODAY(),"⚠️ قريب الانتهاء","✅ ساري")))))</f>
        <v/>
      </c>
      <c r="AK95" s="13" t="n"/>
      <c r="AL95" s="13" t="n"/>
      <c r="AM95" s="13" t="n"/>
      <c r="AN95" s="13" t="n"/>
      <c r="AO95" s="14">
        <f>IF(B95="","",IF(AK95&lt;&gt;"","الأحد والأربعاء",IF(AL95&lt;&gt;"","الاثنين والخميس",IF(AM95&lt;&gt;"","الثلاثاء والجمعة",IF(AN95&lt;&gt;"","كل الأيام","")))))</f>
        <v/>
      </c>
      <c r="AP95" s="13" t="n"/>
      <c r="AQ95" s="13" t="n"/>
      <c r="AR95" s="13" t="n"/>
      <c r="AS95" s="13" t="n"/>
      <c r="AT95" s="14">
        <f>IF(B95="","",IF(AP95&lt;&gt;"","09:00-10:00",IF(AQ95&lt;&gt;"","10:00-11:00",IF(AR95&lt;&gt;"","19:00-20:00",IF(AS95&lt;&gt;"","20:00-21:00","")))))</f>
        <v/>
      </c>
      <c r="AU95" s="19">
        <f>IF(B95="","",COUNTA(التجديد!E95:E95))</f>
        <v/>
      </c>
    </row>
    <row r="96" ht="22" customHeight="1">
      <c r="A96" s="10">
        <f>IF(B96="","","RCS "&amp;TEXT(ROW()-2,"000"))</f>
        <v/>
      </c>
      <c r="B96" s="11" t="n"/>
      <c r="C96" s="11" t="n"/>
      <c r="D96" s="12" t="n"/>
      <c r="E96" s="13" t="n"/>
      <c r="F96" s="13" t="n"/>
      <c r="G96" s="14">
        <f>IF(B96="","",IF(E96&lt;&gt;"","ذكر",IF(F96&lt;&gt;"","أنثى","")))</f>
        <v/>
      </c>
      <c r="H96" s="14">
        <f>IF(D96="","",DATEDIF(D96,TODAY(),"Y"))</f>
        <v/>
      </c>
      <c r="I96" s="13" t="n"/>
      <c r="J96" s="13" t="n"/>
      <c r="K96" s="13" t="n"/>
      <c r="L96" s="13" t="n"/>
      <c r="M96" s="13" t="n"/>
      <c r="N96" s="13" t="n"/>
      <c r="O96" s="13" t="n"/>
      <c r="P96" s="13" t="n"/>
      <c r="Q96" s="14">
        <f>IF(B96="","",IF(I96&lt;&gt;"","A+",IF(J96&lt;&gt;"","A-",IF(K96&lt;&gt;"","B+",IF(L96&lt;&gt;"","B-",IF(M96&lt;&gt;"","O+",IF(N96&lt;&gt;"","O-",IF(O96&lt;&gt;"","AB+",IF(P96&lt;&gt;"","AB-",""))))))))</f>
        <v/>
      </c>
      <c r="R96" s="13" t="n"/>
      <c r="S96" s="13" t="n"/>
      <c r="T96" s="13" t="n"/>
      <c r="U96" s="13" t="n"/>
      <c r="V96" s="13" t="n"/>
      <c r="W96" s="13" t="n"/>
      <c r="X96" s="14">
        <f>IF(B96="","",IF(R96&lt;&gt;"","/",IF(S96&lt;&gt;"","OPOW",IF(T96&lt;&gt;"","DJS",IF(U96&lt;&gt;"","FCS",IF(V96&lt;&gt;"","RCS",IF(W96&lt;&gt;"","POLICE","")))))))</f>
        <v/>
      </c>
      <c r="Y96" s="12" t="n"/>
      <c r="Z96" s="15">
        <f>IF(Y96="","",Y96+30)</f>
        <v/>
      </c>
      <c r="AA96" s="13" t="n"/>
      <c r="AB96" s="13" t="n"/>
      <c r="AC96" s="13" t="n"/>
      <c r="AD96" s="13" t="n"/>
      <c r="AE96" s="14">
        <f>IF(B96="","",IF(AA96&lt;&gt;"","مدفوع",IF(AB96&lt;&gt;"","لم يدفع",IF(AC96&lt;&gt;"","تأمين فقط",IF(AD96&lt;&gt;"","اشتراك 300","")))))</f>
        <v/>
      </c>
      <c r="AF96" s="16">
        <f>IF(OR(AE96="لم يدفع",B96=""),"",IF(OR(AE96="تأمين فقط",X96="FCS",X96="RCS"),0,IF(OR(AE96="اشتراك 300",X96="POLICE",X96="OPOW",X96="DJS"),300,IF(H96&lt;14,1300,1500))))</f>
        <v/>
      </c>
      <c r="AG96" s="16">
        <f>IF(OR(AE96="لم يدفع",B96=""),"",500)</f>
        <v/>
      </c>
      <c r="AH96" s="16">
        <f>IF(OR(AE96="لم يدفع",AE96="تأمين فقط",AE96="اشتراك 300",X96="OPOW",X96="DJS",X96="FCS",X96="RCS",X96="POLICE",B96=""),"",1000)</f>
        <v/>
      </c>
      <c r="AI96" s="17">
        <f>IF(AE96="لم يدفع","",IF(AF96="","",AF96+AG96))</f>
        <v/>
      </c>
      <c r="AJ96" s="18">
        <f>IF(B96="","",IF(AE96="لم يدفع","🔒 مجمدة",IF(Z96="","",IF(Z96&lt;TODAY(),"⛔ منتهي - يتطلب تجديد",IF(Z96-5&lt;=TODAY(),"⚠️ قريب الانتهاء","✅ ساري")))))</f>
        <v/>
      </c>
      <c r="AK96" s="13" t="n"/>
      <c r="AL96" s="13" t="n"/>
      <c r="AM96" s="13" t="n"/>
      <c r="AN96" s="13" t="n"/>
      <c r="AO96" s="14">
        <f>IF(B96="","",IF(AK96&lt;&gt;"","الأحد والأربعاء",IF(AL96&lt;&gt;"","الاثنين والخميس",IF(AM96&lt;&gt;"","الثلاثاء والجمعة",IF(AN96&lt;&gt;"","كل الأيام","")))))</f>
        <v/>
      </c>
      <c r="AP96" s="13" t="n"/>
      <c r="AQ96" s="13" t="n"/>
      <c r="AR96" s="13" t="n"/>
      <c r="AS96" s="13" t="n"/>
      <c r="AT96" s="14">
        <f>IF(B96="","",IF(AP96&lt;&gt;"","09:00-10:00",IF(AQ96&lt;&gt;"","10:00-11:00",IF(AR96&lt;&gt;"","19:00-20:00",IF(AS96&lt;&gt;"","20:00-21:00","")))))</f>
        <v/>
      </c>
      <c r="AU96" s="19">
        <f>IF(B96="","",COUNTA(التجديد!E96:E96))</f>
        <v/>
      </c>
    </row>
    <row r="97" ht="22" customHeight="1">
      <c r="A97" s="10">
        <f>IF(B97="","","RCS "&amp;TEXT(ROW()-2,"000"))</f>
        <v/>
      </c>
      <c r="B97" s="11" t="n"/>
      <c r="C97" s="11" t="n"/>
      <c r="D97" s="12" t="n"/>
      <c r="E97" s="13" t="n"/>
      <c r="F97" s="13" t="n"/>
      <c r="G97" s="14">
        <f>IF(B97="","",IF(E97&lt;&gt;"","ذكر",IF(F97&lt;&gt;"","أنثى","")))</f>
        <v/>
      </c>
      <c r="H97" s="14">
        <f>IF(D97="","",DATEDIF(D97,TODAY(),"Y"))</f>
        <v/>
      </c>
      <c r="I97" s="13" t="n"/>
      <c r="J97" s="13" t="n"/>
      <c r="K97" s="13" t="n"/>
      <c r="L97" s="13" t="n"/>
      <c r="M97" s="13" t="n"/>
      <c r="N97" s="13" t="n"/>
      <c r="O97" s="13" t="n"/>
      <c r="P97" s="13" t="n"/>
      <c r="Q97" s="14">
        <f>IF(B97="","",IF(I97&lt;&gt;"","A+",IF(J97&lt;&gt;"","A-",IF(K97&lt;&gt;"","B+",IF(L97&lt;&gt;"","B-",IF(M97&lt;&gt;"","O+",IF(N97&lt;&gt;"","O-",IF(O97&lt;&gt;"","AB+",IF(P97&lt;&gt;"","AB-",""))))))))</f>
        <v/>
      </c>
      <c r="R97" s="13" t="n"/>
      <c r="S97" s="13" t="n"/>
      <c r="T97" s="13" t="n"/>
      <c r="U97" s="13" t="n"/>
      <c r="V97" s="13" t="n"/>
      <c r="W97" s="13" t="n"/>
      <c r="X97" s="14">
        <f>IF(B97="","",IF(R97&lt;&gt;"","/",IF(S97&lt;&gt;"","OPOW",IF(T97&lt;&gt;"","DJS",IF(U97&lt;&gt;"","FCS",IF(V97&lt;&gt;"","RCS",IF(W97&lt;&gt;"","POLICE","")))))))</f>
        <v/>
      </c>
      <c r="Y97" s="12" t="n"/>
      <c r="Z97" s="15">
        <f>IF(Y97="","",Y97+30)</f>
        <v/>
      </c>
      <c r="AA97" s="13" t="n"/>
      <c r="AB97" s="13" t="n"/>
      <c r="AC97" s="13" t="n"/>
      <c r="AD97" s="13" t="n"/>
      <c r="AE97" s="14">
        <f>IF(B97="","",IF(AA97&lt;&gt;"","مدفوع",IF(AB97&lt;&gt;"","لم يدفع",IF(AC97&lt;&gt;"","تأمين فقط",IF(AD97&lt;&gt;"","اشتراك 300","")))))</f>
        <v/>
      </c>
      <c r="AF97" s="16">
        <f>IF(OR(AE97="لم يدفع",B97=""),"",IF(OR(AE97="تأمين فقط",X97="FCS",X97="RCS"),0,IF(OR(AE97="اشتراك 300",X97="POLICE",X97="OPOW",X97="DJS"),300,IF(H97&lt;14,1300,1500))))</f>
        <v/>
      </c>
      <c r="AG97" s="16">
        <f>IF(OR(AE97="لم يدفع",B97=""),"",500)</f>
        <v/>
      </c>
      <c r="AH97" s="16">
        <f>IF(OR(AE97="لم يدفع",AE97="تأمين فقط",AE97="اشتراك 300",X97="OPOW",X97="DJS",X97="FCS",X97="RCS",X97="POLICE",B97=""),"",1000)</f>
        <v/>
      </c>
      <c r="AI97" s="17">
        <f>IF(AE97="لم يدفع","",IF(AF97="","",AF97+AG97))</f>
        <v/>
      </c>
      <c r="AJ97" s="18">
        <f>IF(B97="","",IF(AE97="لم يدفع","🔒 مجمدة",IF(Z97="","",IF(Z97&lt;TODAY(),"⛔ منتهي - يتطلب تجديد",IF(Z97-5&lt;=TODAY(),"⚠️ قريب الانتهاء","✅ ساري")))))</f>
        <v/>
      </c>
      <c r="AK97" s="13" t="n"/>
      <c r="AL97" s="13" t="n"/>
      <c r="AM97" s="13" t="n"/>
      <c r="AN97" s="13" t="n"/>
      <c r="AO97" s="14">
        <f>IF(B97="","",IF(AK97&lt;&gt;"","الأحد والأربعاء",IF(AL97&lt;&gt;"","الاثنين والخميس",IF(AM97&lt;&gt;"","الثلاثاء والجمعة",IF(AN97&lt;&gt;"","كل الأيام","")))))</f>
        <v/>
      </c>
      <c r="AP97" s="13" t="n"/>
      <c r="AQ97" s="13" t="n"/>
      <c r="AR97" s="13" t="n"/>
      <c r="AS97" s="13" t="n"/>
      <c r="AT97" s="14">
        <f>IF(B97="","",IF(AP97&lt;&gt;"","09:00-10:00",IF(AQ97&lt;&gt;"","10:00-11:00",IF(AR97&lt;&gt;"","19:00-20:00",IF(AS97&lt;&gt;"","20:00-21:00","")))))</f>
        <v/>
      </c>
      <c r="AU97" s="19">
        <f>IF(B97="","",COUNTA(التجديد!E97:E97))</f>
        <v/>
      </c>
    </row>
    <row r="98" ht="22" customHeight="1">
      <c r="A98" s="10">
        <f>IF(B98="","","RCS "&amp;TEXT(ROW()-2,"000"))</f>
        <v/>
      </c>
      <c r="B98" s="11" t="n"/>
      <c r="C98" s="11" t="n"/>
      <c r="D98" s="12" t="n"/>
      <c r="E98" s="13" t="n"/>
      <c r="F98" s="13" t="n"/>
      <c r="G98" s="14">
        <f>IF(B98="","",IF(E98&lt;&gt;"","ذكر",IF(F98&lt;&gt;"","أنثى","")))</f>
        <v/>
      </c>
      <c r="H98" s="14">
        <f>IF(D98="","",DATEDIF(D98,TODAY(),"Y"))</f>
        <v/>
      </c>
      <c r="I98" s="13" t="n"/>
      <c r="J98" s="13" t="n"/>
      <c r="K98" s="13" t="n"/>
      <c r="L98" s="13" t="n"/>
      <c r="M98" s="13" t="n"/>
      <c r="N98" s="13" t="n"/>
      <c r="O98" s="13" t="n"/>
      <c r="P98" s="13" t="n"/>
      <c r="Q98" s="14">
        <f>IF(B98="","",IF(I98&lt;&gt;"","A+",IF(J98&lt;&gt;"","A-",IF(K98&lt;&gt;"","B+",IF(L98&lt;&gt;"","B-",IF(M98&lt;&gt;"","O+",IF(N98&lt;&gt;"","O-",IF(O98&lt;&gt;"","AB+",IF(P98&lt;&gt;"","AB-",""))))))))</f>
        <v/>
      </c>
      <c r="R98" s="13" t="n"/>
      <c r="S98" s="13" t="n"/>
      <c r="T98" s="13" t="n"/>
      <c r="U98" s="13" t="n"/>
      <c r="V98" s="13" t="n"/>
      <c r="W98" s="13" t="n"/>
      <c r="X98" s="14">
        <f>IF(B98="","",IF(R98&lt;&gt;"","/",IF(S98&lt;&gt;"","OPOW",IF(T98&lt;&gt;"","DJS",IF(U98&lt;&gt;"","FCS",IF(V98&lt;&gt;"","RCS",IF(W98&lt;&gt;"","POLICE","")))))))</f>
        <v/>
      </c>
      <c r="Y98" s="12" t="n"/>
      <c r="Z98" s="15">
        <f>IF(Y98="","",Y98+30)</f>
        <v/>
      </c>
      <c r="AA98" s="13" t="n"/>
      <c r="AB98" s="13" t="n"/>
      <c r="AC98" s="13" t="n"/>
      <c r="AD98" s="13" t="n"/>
      <c r="AE98" s="14">
        <f>IF(B98="","",IF(AA98&lt;&gt;"","مدفوع",IF(AB98&lt;&gt;"","لم يدفع",IF(AC98&lt;&gt;"","تأمين فقط",IF(AD98&lt;&gt;"","اشتراك 300","")))))</f>
        <v/>
      </c>
      <c r="AF98" s="16">
        <f>IF(OR(AE98="لم يدفع",B98=""),"",IF(OR(AE98="تأمين فقط",X98="FCS",X98="RCS"),0,IF(OR(AE98="اشتراك 300",X98="POLICE",X98="OPOW",X98="DJS"),300,IF(H98&lt;14,1300,1500))))</f>
        <v/>
      </c>
      <c r="AG98" s="16">
        <f>IF(OR(AE98="لم يدفع",B98=""),"",500)</f>
        <v/>
      </c>
      <c r="AH98" s="16">
        <f>IF(OR(AE98="لم يدفع",AE98="تأمين فقط",AE98="اشتراك 300",X98="OPOW",X98="DJS",X98="FCS",X98="RCS",X98="POLICE",B98=""),"",1000)</f>
        <v/>
      </c>
      <c r="AI98" s="17">
        <f>IF(AE98="لم يدفع","",IF(AF98="","",AF98+AG98))</f>
        <v/>
      </c>
      <c r="AJ98" s="18">
        <f>IF(B98="","",IF(AE98="لم يدفع","🔒 مجمدة",IF(Z98="","",IF(Z98&lt;TODAY(),"⛔ منتهي - يتطلب تجديد",IF(Z98-5&lt;=TODAY(),"⚠️ قريب الانتهاء","✅ ساري")))))</f>
        <v/>
      </c>
      <c r="AK98" s="13" t="n"/>
      <c r="AL98" s="13" t="n"/>
      <c r="AM98" s="13" t="n"/>
      <c r="AN98" s="13" t="n"/>
      <c r="AO98" s="14">
        <f>IF(B98="","",IF(AK98&lt;&gt;"","الأحد والأربعاء",IF(AL98&lt;&gt;"","الاثنين والخميس",IF(AM98&lt;&gt;"","الثلاثاء والجمعة",IF(AN98&lt;&gt;"","كل الأيام","")))))</f>
        <v/>
      </c>
      <c r="AP98" s="13" t="n"/>
      <c r="AQ98" s="13" t="n"/>
      <c r="AR98" s="13" t="n"/>
      <c r="AS98" s="13" t="n"/>
      <c r="AT98" s="14">
        <f>IF(B98="","",IF(AP98&lt;&gt;"","09:00-10:00",IF(AQ98&lt;&gt;"","10:00-11:00",IF(AR98&lt;&gt;"","19:00-20:00",IF(AS98&lt;&gt;"","20:00-21:00","")))))</f>
        <v/>
      </c>
      <c r="AU98" s="19">
        <f>IF(B98="","",COUNTA(التجديد!E98:E98))</f>
        <v/>
      </c>
    </row>
    <row r="99" ht="22" customHeight="1">
      <c r="A99" s="10">
        <f>IF(B99="","","RCS "&amp;TEXT(ROW()-2,"000"))</f>
        <v/>
      </c>
      <c r="B99" s="11" t="n"/>
      <c r="C99" s="11" t="n"/>
      <c r="D99" s="12" t="n"/>
      <c r="E99" s="13" t="n"/>
      <c r="F99" s="13" t="n"/>
      <c r="G99" s="14">
        <f>IF(B99="","",IF(E99&lt;&gt;"","ذكر",IF(F99&lt;&gt;"","أنثى","")))</f>
        <v/>
      </c>
      <c r="H99" s="14">
        <f>IF(D99="","",DATEDIF(D99,TODAY(),"Y"))</f>
        <v/>
      </c>
      <c r="I99" s="13" t="n"/>
      <c r="J99" s="13" t="n"/>
      <c r="K99" s="13" t="n"/>
      <c r="L99" s="13" t="n"/>
      <c r="M99" s="13" t="n"/>
      <c r="N99" s="13" t="n"/>
      <c r="O99" s="13" t="n"/>
      <c r="P99" s="13" t="n"/>
      <c r="Q99" s="14">
        <f>IF(B99="","",IF(I99&lt;&gt;"","A+",IF(J99&lt;&gt;"","A-",IF(K99&lt;&gt;"","B+",IF(L99&lt;&gt;"","B-",IF(M99&lt;&gt;"","O+",IF(N99&lt;&gt;"","O-",IF(O99&lt;&gt;"","AB+",IF(P99&lt;&gt;"","AB-",""))))))))</f>
        <v/>
      </c>
      <c r="R99" s="13" t="n"/>
      <c r="S99" s="13" t="n"/>
      <c r="T99" s="13" t="n"/>
      <c r="U99" s="13" t="n"/>
      <c r="V99" s="13" t="n"/>
      <c r="W99" s="13" t="n"/>
      <c r="X99" s="14">
        <f>IF(B99="","",IF(R99&lt;&gt;"","/",IF(S99&lt;&gt;"","OPOW",IF(T99&lt;&gt;"","DJS",IF(U99&lt;&gt;"","FCS",IF(V99&lt;&gt;"","RCS",IF(W99&lt;&gt;"","POLICE","")))))))</f>
        <v/>
      </c>
      <c r="Y99" s="12" t="n"/>
      <c r="Z99" s="15">
        <f>IF(Y99="","",Y99+30)</f>
        <v/>
      </c>
      <c r="AA99" s="13" t="n"/>
      <c r="AB99" s="13" t="n"/>
      <c r="AC99" s="13" t="n"/>
      <c r="AD99" s="13" t="n"/>
      <c r="AE99" s="14">
        <f>IF(B99="","",IF(AA99&lt;&gt;"","مدفوع",IF(AB99&lt;&gt;"","لم يدفع",IF(AC99&lt;&gt;"","تأمين فقط",IF(AD99&lt;&gt;"","اشتراك 300","")))))</f>
        <v/>
      </c>
      <c r="AF99" s="16">
        <f>IF(OR(AE99="لم يدفع",B99=""),"",IF(OR(AE99="تأمين فقط",X99="FCS",X99="RCS"),0,IF(OR(AE99="اشتراك 300",X99="POLICE",X99="OPOW",X99="DJS"),300,IF(H99&lt;14,1300,1500))))</f>
        <v/>
      </c>
      <c r="AG99" s="16">
        <f>IF(OR(AE99="لم يدفع",B99=""),"",500)</f>
        <v/>
      </c>
      <c r="AH99" s="16">
        <f>IF(OR(AE99="لم يدفع",AE99="تأمين فقط",AE99="اشتراك 300",X99="OPOW",X99="DJS",X99="FCS",X99="RCS",X99="POLICE",B99=""),"",1000)</f>
        <v/>
      </c>
      <c r="AI99" s="17">
        <f>IF(AE99="لم يدفع","",IF(AF99="","",AF99+AG99))</f>
        <v/>
      </c>
      <c r="AJ99" s="18">
        <f>IF(B99="","",IF(AE99="لم يدفع","🔒 مجمدة",IF(Z99="","",IF(Z99&lt;TODAY(),"⛔ منتهي - يتطلب تجديد",IF(Z99-5&lt;=TODAY(),"⚠️ قريب الانتهاء","✅ ساري")))))</f>
        <v/>
      </c>
      <c r="AK99" s="13" t="n"/>
      <c r="AL99" s="13" t="n"/>
      <c r="AM99" s="13" t="n"/>
      <c r="AN99" s="13" t="n"/>
      <c r="AO99" s="14">
        <f>IF(B99="","",IF(AK99&lt;&gt;"","الأحد والأربعاء",IF(AL99&lt;&gt;"","الاثنين والخميس",IF(AM99&lt;&gt;"","الثلاثاء والجمعة",IF(AN99&lt;&gt;"","كل الأيام","")))))</f>
        <v/>
      </c>
      <c r="AP99" s="13" t="n"/>
      <c r="AQ99" s="13" t="n"/>
      <c r="AR99" s="13" t="n"/>
      <c r="AS99" s="13" t="n"/>
      <c r="AT99" s="14">
        <f>IF(B99="","",IF(AP99&lt;&gt;"","09:00-10:00",IF(AQ99&lt;&gt;"","10:00-11:00",IF(AR99&lt;&gt;"","19:00-20:00",IF(AS99&lt;&gt;"","20:00-21:00","")))))</f>
        <v/>
      </c>
      <c r="AU99" s="19">
        <f>IF(B99="","",COUNTA(التجديد!E99:E99))</f>
        <v/>
      </c>
    </row>
    <row r="100" ht="22" customHeight="1">
      <c r="A100" s="10">
        <f>IF(B100="","","RCS "&amp;TEXT(ROW()-2,"000"))</f>
        <v/>
      </c>
      <c r="B100" s="11" t="n"/>
      <c r="C100" s="11" t="n"/>
      <c r="D100" s="12" t="n"/>
      <c r="E100" s="13" t="n"/>
      <c r="F100" s="13" t="n"/>
      <c r="G100" s="14">
        <f>IF(B100="","",IF(E100&lt;&gt;"","ذكر",IF(F100&lt;&gt;"","أنثى","")))</f>
        <v/>
      </c>
      <c r="H100" s="14">
        <f>IF(D100="","",DATEDIF(D100,TODAY(),"Y"))</f>
        <v/>
      </c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4">
        <f>IF(B100="","",IF(I100&lt;&gt;"","A+",IF(J100&lt;&gt;"","A-",IF(K100&lt;&gt;"","B+",IF(L100&lt;&gt;"","B-",IF(M100&lt;&gt;"","O+",IF(N100&lt;&gt;"","O-",IF(O100&lt;&gt;"","AB+",IF(P100&lt;&gt;"","AB-",""))))))))</f>
        <v/>
      </c>
      <c r="R100" s="13" t="n"/>
      <c r="S100" s="13" t="n"/>
      <c r="T100" s="13" t="n"/>
      <c r="U100" s="13" t="n"/>
      <c r="V100" s="13" t="n"/>
      <c r="W100" s="13" t="n"/>
      <c r="X100" s="14">
        <f>IF(B100="","",IF(R100&lt;&gt;"","/",IF(S100&lt;&gt;"","OPOW",IF(T100&lt;&gt;"","DJS",IF(U100&lt;&gt;"","FCS",IF(V100&lt;&gt;"","RCS",IF(W100&lt;&gt;"","POLICE","")))))))</f>
        <v/>
      </c>
      <c r="Y100" s="12" t="n"/>
      <c r="Z100" s="15">
        <f>IF(Y100="","",Y100+30)</f>
        <v/>
      </c>
      <c r="AA100" s="13" t="n"/>
      <c r="AB100" s="13" t="n"/>
      <c r="AC100" s="13" t="n"/>
      <c r="AD100" s="13" t="n"/>
      <c r="AE100" s="14">
        <f>IF(B100="","",IF(AA100&lt;&gt;"","مدفوع",IF(AB100&lt;&gt;"","لم يدفع",IF(AC100&lt;&gt;"","تأمين فقط",IF(AD100&lt;&gt;"","اشتراك 300","")))))</f>
        <v/>
      </c>
      <c r="AF100" s="16">
        <f>IF(OR(AE100="لم يدفع",B100=""),"",IF(OR(AE100="تأمين فقط",X100="FCS",X100="RCS"),0,IF(OR(AE100="اشتراك 300",X100="POLICE",X100="OPOW",X100="DJS"),300,IF(H100&lt;14,1300,1500))))</f>
        <v/>
      </c>
      <c r="AG100" s="16">
        <f>IF(OR(AE100="لم يدفع",B100=""),"",500)</f>
        <v/>
      </c>
      <c r="AH100" s="16">
        <f>IF(OR(AE100="لم يدفع",AE100="تأمين فقط",AE100="اشتراك 300",X100="OPOW",X100="DJS",X100="FCS",X100="RCS",X100="POLICE",B100=""),"",1000)</f>
        <v/>
      </c>
      <c r="AI100" s="17">
        <f>IF(AE100="لم يدفع","",IF(AF100="","",AF100+AG100))</f>
        <v/>
      </c>
      <c r="AJ100" s="18">
        <f>IF(B100="","",IF(AE100="لم يدفع","🔒 مجمدة",IF(Z100="","",IF(Z100&lt;TODAY(),"⛔ منتهي - يتطلب تجديد",IF(Z100-5&lt;=TODAY(),"⚠️ قريب الانتهاء","✅ ساري")))))</f>
        <v/>
      </c>
      <c r="AK100" s="13" t="n"/>
      <c r="AL100" s="13" t="n"/>
      <c r="AM100" s="13" t="n"/>
      <c r="AN100" s="13" t="n"/>
      <c r="AO100" s="14">
        <f>IF(B100="","",IF(AK100&lt;&gt;"","الأحد والأربعاء",IF(AL100&lt;&gt;"","الاثنين والخميس",IF(AM100&lt;&gt;"","الثلاثاء والجمعة",IF(AN100&lt;&gt;"","كل الأيام","")))))</f>
        <v/>
      </c>
      <c r="AP100" s="13" t="n"/>
      <c r="AQ100" s="13" t="n"/>
      <c r="AR100" s="13" t="n"/>
      <c r="AS100" s="13" t="n"/>
      <c r="AT100" s="14">
        <f>IF(B100="","",IF(AP100&lt;&gt;"","09:00-10:00",IF(AQ100&lt;&gt;"","10:00-11:00",IF(AR100&lt;&gt;"","19:00-20:00",IF(AS100&lt;&gt;"","20:00-21:00","")))))</f>
        <v/>
      </c>
      <c r="AU100" s="19">
        <f>IF(B100="","",COUNTA(التجديد!E100:E100))</f>
        <v/>
      </c>
    </row>
    <row r="101" ht="22" customHeight="1">
      <c r="A101" s="10">
        <f>IF(B101="","","RCS "&amp;TEXT(ROW()-2,"000"))</f>
        <v/>
      </c>
      <c r="B101" s="11" t="n"/>
      <c r="C101" s="11" t="n"/>
      <c r="D101" s="12" t="n"/>
      <c r="E101" s="13" t="n"/>
      <c r="F101" s="13" t="n"/>
      <c r="G101" s="14">
        <f>IF(B101="","",IF(E101&lt;&gt;"","ذكر",IF(F101&lt;&gt;"","أنثى","")))</f>
        <v/>
      </c>
      <c r="H101" s="14">
        <f>IF(D101="","",DATEDIF(D101,TODAY(),"Y"))</f>
        <v/>
      </c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4">
        <f>IF(B101="","",IF(I101&lt;&gt;"","A+",IF(J101&lt;&gt;"","A-",IF(K101&lt;&gt;"","B+",IF(L101&lt;&gt;"","B-",IF(M101&lt;&gt;"","O+",IF(N101&lt;&gt;"","O-",IF(O101&lt;&gt;"","AB+",IF(P101&lt;&gt;"","AB-",""))))))))</f>
        <v/>
      </c>
      <c r="R101" s="13" t="n"/>
      <c r="S101" s="13" t="n"/>
      <c r="T101" s="13" t="n"/>
      <c r="U101" s="13" t="n"/>
      <c r="V101" s="13" t="n"/>
      <c r="W101" s="13" t="n"/>
      <c r="X101" s="14">
        <f>IF(B101="","",IF(R101&lt;&gt;"","/",IF(S101&lt;&gt;"","OPOW",IF(T101&lt;&gt;"","DJS",IF(U101&lt;&gt;"","FCS",IF(V101&lt;&gt;"","RCS",IF(W101&lt;&gt;"","POLICE","")))))))</f>
        <v/>
      </c>
      <c r="Y101" s="12" t="n"/>
      <c r="Z101" s="15">
        <f>IF(Y101="","",Y101+30)</f>
        <v/>
      </c>
      <c r="AA101" s="13" t="n"/>
      <c r="AB101" s="13" t="n"/>
      <c r="AC101" s="13" t="n"/>
      <c r="AD101" s="13" t="n"/>
      <c r="AE101" s="14">
        <f>IF(B101="","",IF(AA101&lt;&gt;"","مدفوع",IF(AB101&lt;&gt;"","لم يدفع",IF(AC101&lt;&gt;"","تأمين فقط",IF(AD101&lt;&gt;"","اشتراك 300","")))))</f>
        <v/>
      </c>
      <c r="AF101" s="16">
        <f>IF(OR(AE101="لم يدفع",B101=""),"",IF(OR(AE101="تأمين فقط",X101="FCS",X101="RCS"),0,IF(OR(AE101="اشتراك 300",X101="POLICE",X101="OPOW",X101="DJS"),300,IF(H101&lt;14,1300,1500))))</f>
        <v/>
      </c>
      <c r="AG101" s="16">
        <f>IF(OR(AE101="لم يدفع",B101=""),"",500)</f>
        <v/>
      </c>
      <c r="AH101" s="16">
        <f>IF(OR(AE101="لم يدفع",AE101="تأمين فقط",AE101="اشتراك 300",X101="OPOW",X101="DJS",X101="FCS",X101="RCS",X101="POLICE",B101=""),"",1000)</f>
        <v/>
      </c>
      <c r="AI101" s="17">
        <f>IF(AE101="لم يدفع","",IF(AF101="","",AF101+AG101))</f>
        <v/>
      </c>
      <c r="AJ101" s="18">
        <f>IF(B101="","",IF(AE101="لم يدفع","🔒 مجمدة",IF(Z101="","",IF(Z101&lt;TODAY(),"⛔ منتهي - يتطلب تجديد",IF(Z101-5&lt;=TODAY(),"⚠️ قريب الانتهاء","✅ ساري")))))</f>
        <v/>
      </c>
      <c r="AK101" s="13" t="n"/>
      <c r="AL101" s="13" t="n"/>
      <c r="AM101" s="13" t="n"/>
      <c r="AN101" s="13" t="n"/>
      <c r="AO101" s="14">
        <f>IF(B101="","",IF(AK101&lt;&gt;"","الأحد والأربعاء",IF(AL101&lt;&gt;"","الاثنين والخميس",IF(AM101&lt;&gt;"","الثلاثاء والجمعة",IF(AN101&lt;&gt;"","كل الأيام","")))))</f>
        <v/>
      </c>
      <c r="AP101" s="13" t="n"/>
      <c r="AQ101" s="13" t="n"/>
      <c r="AR101" s="13" t="n"/>
      <c r="AS101" s="13" t="n"/>
      <c r="AT101" s="14">
        <f>IF(B101="","",IF(AP101&lt;&gt;"","09:00-10:00",IF(AQ101&lt;&gt;"","10:00-11:00",IF(AR101&lt;&gt;"","19:00-20:00",IF(AS101&lt;&gt;"","20:00-21:00","")))))</f>
        <v/>
      </c>
      <c r="AU101" s="19">
        <f>IF(B101="","",COUNTA(التجديد!E101:E101))</f>
        <v/>
      </c>
    </row>
    <row r="102" ht="22" customHeight="1">
      <c r="A102" s="10">
        <f>IF(B102="","","RCS "&amp;TEXT(ROW()-2,"000"))</f>
        <v/>
      </c>
      <c r="B102" s="11" t="n"/>
      <c r="C102" s="11" t="n"/>
      <c r="D102" s="12" t="n"/>
      <c r="E102" s="13" t="n"/>
      <c r="F102" s="13" t="n"/>
      <c r="G102" s="14">
        <f>IF(B102="","",IF(E102&lt;&gt;"","ذكر",IF(F102&lt;&gt;"","أنثى","")))</f>
        <v/>
      </c>
      <c r="H102" s="14">
        <f>IF(D102="","",DATEDIF(D102,TODAY(),"Y"))</f>
        <v/>
      </c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4">
        <f>IF(B102="","",IF(I102&lt;&gt;"","A+",IF(J102&lt;&gt;"","A-",IF(K102&lt;&gt;"","B+",IF(L102&lt;&gt;"","B-",IF(M102&lt;&gt;"","O+",IF(N102&lt;&gt;"","O-",IF(O102&lt;&gt;"","AB+",IF(P102&lt;&gt;"","AB-",""))))))))</f>
        <v/>
      </c>
      <c r="R102" s="13" t="n"/>
      <c r="S102" s="13" t="n"/>
      <c r="T102" s="13" t="n"/>
      <c r="U102" s="13" t="n"/>
      <c r="V102" s="13" t="n"/>
      <c r="W102" s="13" t="n"/>
      <c r="X102" s="14">
        <f>IF(B102="","",IF(R102&lt;&gt;"","/",IF(S102&lt;&gt;"","OPOW",IF(T102&lt;&gt;"","DJS",IF(U102&lt;&gt;"","FCS",IF(V102&lt;&gt;"","RCS",IF(W102&lt;&gt;"","POLICE","")))))))</f>
        <v/>
      </c>
      <c r="Y102" s="12" t="n"/>
      <c r="Z102" s="15">
        <f>IF(Y102="","",Y102+30)</f>
        <v/>
      </c>
      <c r="AA102" s="13" t="n"/>
      <c r="AB102" s="13" t="n"/>
      <c r="AC102" s="13" t="n"/>
      <c r="AD102" s="13" t="n"/>
      <c r="AE102" s="14">
        <f>IF(B102="","",IF(AA102&lt;&gt;"","مدفوع",IF(AB102&lt;&gt;"","لم يدفع",IF(AC102&lt;&gt;"","تأمين فقط",IF(AD102&lt;&gt;"","اشتراك 300","")))))</f>
        <v/>
      </c>
      <c r="AF102" s="16">
        <f>IF(OR(AE102="لم يدفع",B102=""),"",IF(OR(AE102="تأمين فقط",X102="FCS",X102="RCS"),0,IF(OR(AE102="اشتراك 300",X102="POLICE",X102="OPOW",X102="DJS"),300,IF(H102&lt;14,1300,1500))))</f>
        <v/>
      </c>
      <c r="AG102" s="16">
        <f>IF(OR(AE102="لم يدفع",B102=""),"",500)</f>
        <v/>
      </c>
      <c r="AH102" s="16">
        <f>IF(OR(AE102="لم يدفع",AE102="تأمين فقط",AE102="اشتراك 300",X102="OPOW",X102="DJS",X102="FCS",X102="RCS",X102="POLICE",B102=""),"",1000)</f>
        <v/>
      </c>
      <c r="AI102" s="17">
        <f>IF(AE102="لم يدفع","",IF(AF102="","",AF102+AG102))</f>
        <v/>
      </c>
      <c r="AJ102" s="18">
        <f>IF(B102="","",IF(AE102="لم يدفع","🔒 مجمدة",IF(Z102="","",IF(Z102&lt;TODAY(),"⛔ منتهي - يتطلب تجديد",IF(Z102-5&lt;=TODAY(),"⚠️ قريب الانتهاء","✅ ساري")))))</f>
        <v/>
      </c>
      <c r="AK102" s="13" t="n"/>
      <c r="AL102" s="13" t="n"/>
      <c r="AM102" s="13" t="n"/>
      <c r="AN102" s="13" t="n"/>
      <c r="AO102" s="14">
        <f>IF(B102="","",IF(AK102&lt;&gt;"","الأحد والأربعاء",IF(AL102&lt;&gt;"","الاثنين والخميس",IF(AM102&lt;&gt;"","الثلاثاء والجمعة",IF(AN102&lt;&gt;"","كل الأيام","")))))</f>
        <v/>
      </c>
      <c r="AP102" s="13" t="n"/>
      <c r="AQ102" s="13" t="n"/>
      <c r="AR102" s="13" t="n"/>
      <c r="AS102" s="13" t="n"/>
      <c r="AT102" s="14">
        <f>IF(B102="","",IF(AP102&lt;&gt;"","09:00-10:00",IF(AQ102&lt;&gt;"","10:00-11:00",IF(AR102&lt;&gt;"","19:00-20:00",IF(AS102&lt;&gt;"","20:00-21:00","")))))</f>
        <v/>
      </c>
      <c r="AU102" s="19">
        <f>IF(B102="","",COUNTA(التجديد!E102:E102))</f>
        <v/>
      </c>
    </row>
    <row r="103" ht="22" customHeight="1">
      <c r="A103" s="10">
        <f>IF(B103="","","RCS "&amp;TEXT(ROW()-2,"000"))</f>
        <v/>
      </c>
      <c r="B103" s="11" t="n"/>
      <c r="C103" s="11" t="n"/>
      <c r="D103" s="12" t="n"/>
      <c r="E103" s="13" t="n"/>
      <c r="F103" s="13" t="n"/>
      <c r="G103" s="14">
        <f>IF(B103="","",IF(E103&lt;&gt;"","ذكر",IF(F103&lt;&gt;"","أنثى","")))</f>
        <v/>
      </c>
      <c r="H103" s="14">
        <f>IF(D103="","",DATEDIF(D103,TODAY(),"Y"))</f>
        <v/>
      </c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4">
        <f>IF(B103="","",IF(I103&lt;&gt;"","A+",IF(J103&lt;&gt;"","A-",IF(K103&lt;&gt;"","B+",IF(L103&lt;&gt;"","B-",IF(M103&lt;&gt;"","O+",IF(N103&lt;&gt;"","O-",IF(O103&lt;&gt;"","AB+",IF(P103&lt;&gt;"","AB-",""))))))))</f>
        <v/>
      </c>
      <c r="R103" s="13" t="n"/>
      <c r="S103" s="13" t="n"/>
      <c r="T103" s="13" t="n"/>
      <c r="U103" s="13" t="n"/>
      <c r="V103" s="13" t="n"/>
      <c r="W103" s="13" t="n"/>
      <c r="X103" s="14">
        <f>IF(B103="","",IF(R103&lt;&gt;"","/",IF(S103&lt;&gt;"","OPOW",IF(T103&lt;&gt;"","DJS",IF(U103&lt;&gt;"","FCS",IF(V103&lt;&gt;"","RCS",IF(W103&lt;&gt;"","POLICE","")))))))</f>
        <v/>
      </c>
      <c r="Y103" s="12" t="n"/>
      <c r="Z103" s="15">
        <f>IF(Y103="","",Y103+30)</f>
        <v/>
      </c>
      <c r="AA103" s="13" t="n"/>
      <c r="AB103" s="13" t="n"/>
      <c r="AC103" s="13" t="n"/>
      <c r="AD103" s="13" t="n"/>
      <c r="AE103" s="14">
        <f>IF(B103="","",IF(AA103&lt;&gt;"","مدفوع",IF(AB103&lt;&gt;"","لم يدفع",IF(AC103&lt;&gt;"","تأمين فقط",IF(AD103&lt;&gt;"","اشتراك 300","")))))</f>
        <v/>
      </c>
      <c r="AF103" s="16">
        <f>IF(OR(AE103="لم يدفع",B103=""),"",IF(OR(AE103="تأمين فقط",X103="FCS",X103="RCS"),0,IF(OR(AE103="اشتراك 300",X103="POLICE",X103="OPOW",X103="DJS"),300,IF(H103&lt;14,1300,1500))))</f>
        <v/>
      </c>
      <c r="AG103" s="16">
        <f>IF(OR(AE103="لم يدفع",B103=""),"",500)</f>
        <v/>
      </c>
      <c r="AH103" s="16">
        <f>IF(OR(AE103="لم يدفع",AE103="تأمين فقط",AE103="اشتراك 300",X103="OPOW",X103="DJS",X103="FCS",X103="RCS",X103="POLICE",B103=""),"",1000)</f>
        <v/>
      </c>
      <c r="AI103" s="17">
        <f>IF(AE103="لم يدفع","",IF(AF103="","",AF103+AG103))</f>
        <v/>
      </c>
      <c r="AJ103" s="18">
        <f>IF(B103="","",IF(AE103="لم يدفع","🔒 مجمدة",IF(Z103="","",IF(Z103&lt;TODAY(),"⛔ منتهي - يتطلب تجديد",IF(Z103-5&lt;=TODAY(),"⚠️ قريب الانتهاء","✅ ساري")))))</f>
        <v/>
      </c>
      <c r="AK103" s="13" t="n"/>
      <c r="AL103" s="13" t="n"/>
      <c r="AM103" s="13" t="n"/>
      <c r="AN103" s="13" t="n"/>
      <c r="AO103" s="14">
        <f>IF(B103="","",IF(AK103&lt;&gt;"","الأحد والأربعاء",IF(AL103&lt;&gt;"","الاثنين والخميس",IF(AM103&lt;&gt;"","الثلاثاء والجمعة",IF(AN103&lt;&gt;"","كل الأيام","")))))</f>
        <v/>
      </c>
      <c r="AP103" s="13" t="n"/>
      <c r="AQ103" s="13" t="n"/>
      <c r="AR103" s="13" t="n"/>
      <c r="AS103" s="13" t="n"/>
      <c r="AT103" s="14">
        <f>IF(B103="","",IF(AP103&lt;&gt;"","09:00-10:00",IF(AQ103&lt;&gt;"","10:00-11:00",IF(AR103&lt;&gt;"","19:00-20:00",IF(AS103&lt;&gt;"","20:00-21:00","")))))</f>
        <v/>
      </c>
      <c r="AU103" s="19">
        <f>IF(B103="","",COUNTA(التجديد!E103:E103))</f>
        <v/>
      </c>
    </row>
    <row r="104" ht="22" customHeight="1">
      <c r="A104" s="10">
        <f>IF(B104="","","RCS "&amp;TEXT(ROW()-2,"000"))</f>
        <v/>
      </c>
      <c r="B104" s="11" t="n"/>
      <c r="C104" s="11" t="n"/>
      <c r="D104" s="12" t="n"/>
      <c r="E104" s="13" t="n"/>
      <c r="F104" s="13" t="n"/>
      <c r="G104" s="14">
        <f>IF(B104="","",IF(E104&lt;&gt;"","ذكر",IF(F104&lt;&gt;"","أنثى","")))</f>
        <v/>
      </c>
      <c r="H104" s="14">
        <f>IF(D104="","",DATEDIF(D104,TODAY(),"Y"))</f>
        <v/>
      </c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4">
        <f>IF(B104="","",IF(I104&lt;&gt;"","A+",IF(J104&lt;&gt;"","A-",IF(K104&lt;&gt;"","B+",IF(L104&lt;&gt;"","B-",IF(M104&lt;&gt;"","O+",IF(N104&lt;&gt;"","O-",IF(O104&lt;&gt;"","AB+",IF(P104&lt;&gt;"","AB-",""))))))))</f>
        <v/>
      </c>
      <c r="R104" s="13" t="n"/>
      <c r="S104" s="13" t="n"/>
      <c r="T104" s="13" t="n"/>
      <c r="U104" s="13" t="n"/>
      <c r="V104" s="13" t="n"/>
      <c r="W104" s="13" t="n"/>
      <c r="X104" s="14">
        <f>IF(B104="","",IF(R104&lt;&gt;"","/",IF(S104&lt;&gt;"","OPOW",IF(T104&lt;&gt;"","DJS",IF(U104&lt;&gt;"","FCS",IF(V104&lt;&gt;"","RCS",IF(W104&lt;&gt;"","POLICE","")))))))</f>
        <v/>
      </c>
      <c r="Y104" s="12" t="n"/>
      <c r="Z104" s="15">
        <f>IF(Y104="","",Y104+30)</f>
        <v/>
      </c>
      <c r="AA104" s="13" t="n"/>
      <c r="AB104" s="13" t="n"/>
      <c r="AC104" s="13" t="n"/>
      <c r="AD104" s="13" t="n"/>
      <c r="AE104" s="14">
        <f>IF(B104="","",IF(AA104&lt;&gt;"","مدفوع",IF(AB104&lt;&gt;"","لم يدفع",IF(AC104&lt;&gt;"","تأمين فقط",IF(AD104&lt;&gt;"","اشتراك 300","")))))</f>
        <v/>
      </c>
      <c r="AF104" s="16">
        <f>IF(OR(AE104="لم يدفع",B104=""),"",IF(OR(AE104="تأمين فقط",X104="FCS",X104="RCS"),0,IF(OR(AE104="اشتراك 300",X104="POLICE",X104="OPOW",X104="DJS"),300,IF(H104&lt;14,1300,1500))))</f>
        <v/>
      </c>
      <c r="AG104" s="16">
        <f>IF(OR(AE104="لم يدفع",B104=""),"",500)</f>
        <v/>
      </c>
      <c r="AH104" s="16">
        <f>IF(OR(AE104="لم يدفع",AE104="تأمين فقط",AE104="اشتراك 300",X104="OPOW",X104="DJS",X104="FCS",X104="RCS",X104="POLICE",B104=""),"",1000)</f>
        <v/>
      </c>
      <c r="AI104" s="17">
        <f>IF(AE104="لم يدفع","",IF(AF104="","",AF104+AG104))</f>
        <v/>
      </c>
      <c r="AJ104" s="18">
        <f>IF(B104="","",IF(AE104="لم يدفع","🔒 مجمدة",IF(Z104="","",IF(Z104&lt;TODAY(),"⛔ منتهي - يتطلب تجديد",IF(Z104-5&lt;=TODAY(),"⚠️ قريب الانتهاء","✅ ساري")))))</f>
        <v/>
      </c>
      <c r="AK104" s="13" t="n"/>
      <c r="AL104" s="13" t="n"/>
      <c r="AM104" s="13" t="n"/>
      <c r="AN104" s="13" t="n"/>
      <c r="AO104" s="14">
        <f>IF(B104="","",IF(AK104&lt;&gt;"","الأحد والأربعاء",IF(AL104&lt;&gt;"","الاثنين والخميس",IF(AM104&lt;&gt;"","الثلاثاء والجمعة",IF(AN104&lt;&gt;"","كل الأيام","")))))</f>
        <v/>
      </c>
      <c r="AP104" s="13" t="n"/>
      <c r="AQ104" s="13" t="n"/>
      <c r="AR104" s="13" t="n"/>
      <c r="AS104" s="13" t="n"/>
      <c r="AT104" s="14">
        <f>IF(B104="","",IF(AP104&lt;&gt;"","09:00-10:00",IF(AQ104&lt;&gt;"","10:00-11:00",IF(AR104&lt;&gt;"","19:00-20:00",IF(AS104&lt;&gt;"","20:00-21:00","")))))</f>
        <v/>
      </c>
      <c r="AU104" s="19">
        <f>IF(B104="","",COUNTA(التجديد!E104:E104))</f>
        <v/>
      </c>
    </row>
    <row r="105" ht="22" customHeight="1">
      <c r="A105" s="10">
        <f>IF(B105="","","RCS "&amp;TEXT(ROW()-2,"000"))</f>
        <v/>
      </c>
      <c r="B105" s="11" t="n"/>
      <c r="C105" s="11" t="n"/>
      <c r="D105" s="12" t="n"/>
      <c r="E105" s="13" t="n"/>
      <c r="F105" s="13" t="n"/>
      <c r="G105" s="14">
        <f>IF(B105="","",IF(E105&lt;&gt;"","ذكر",IF(F105&lt;&gt;"","أنثى","")))</f>
        <v/>
      </c>
      <c r="H105" s="14">
        <f>IF(D105="","",DATEDIF(D105,TODAY(),"Y"))</f>
        <v/>
      </c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4">
        <f>IF(B105="","",IF(I105&lt;&gt;"","A+",IF(J105&lt;&gt;"","A-",IF(K105&lt;&gt;"","B+",IF(L105&lt;&gt;"","B-",IF(M105&lt;&gt;"","O+",IF(N105&lt;&gt;"","O-",IF(O105&lt;&gt;"","AB+",IF(P105&lt;&gt;"","AB-",""))))))))</f>
        <v/>
      </c>
      <c r="R105" s="13" t="n"/>
      <c r="S105" s="13" t="n"/>
      <c r="T105" s="13" t="n"/>
      <c r="U105" s="13" t="n"/>
      <c r="V105" s="13" t="n"/>
      <c r="W105" s="13" t="n"/>
      <c r="X105" s="14">
        <f>IF(B105="","",IF(R105&lt;&gt;"","/",IF(S105&lt;&gt;"","OPOW",IF(T105&lt;&gt;"","DJS",IF(U105&lt;&gt;"","FCS",IF(V105&lt;&gt;"","RCS",IF(W105&lt;&gt;"","POLICE","")))))))</f>
        <v/>
      </c>
      <c r="Y105" s="12" t="n"/>
      <c r="Z105" s="15">
        <f>IF(Y105="","",Y105+30)</f>
        <v/>
      </c>
      <c r="AA105" s="13" t="n"/>
      <c r="AB105" s="13" t="n"/>
      <c r="AC105" s="13" t="n"/>
      <c r="AD105" s="13" t="n"/>
      <c r="AE105" s="14">
        <f>IF(B105="","",IF(AA105&lt;&gt;"","مدفوع",IF(AB105&lt;&gt;"","لم يدفع",IF(AC105&lt;&gt;"","تأمين فقط",IF(AD105&lt;&gt;"","اشتراك 300","")))))</f>
        <v/>
      </c>
      <c r="AF105" s="16">
        <f>IF(OR(AE105="لم يدفع",B105=""),"",IF(OR(AE105="تأمين فقط",X105="FCS",X105="RCS"),0,IF(OR(AE105="اشتراك 300",X105="POLICE",X105="OPOW",X105="DJS"),300,IF(H105&lt;14,1300,1500))))</f>
        <v/>
      </c>
      <c r="AG105" s="16">
        <f>IF(OR(AE105="لم يدفع",B105=""),"",500)</f>
        <v/>
      </c>
      <c r="AH105" s="16">
        <f>IF(OR(AE105="لم يدفع",AE105="تأمين فقط",AE105="اشتراك 300",X105="OPOW",X105="DJS",X105="FCS",X105="RCS",X105="POLICE",B105=""),"",1000)</f>
        <v/>
      </c>
      <c r="AI105" s="17">
        <f>IF(AE105="لم يدفع","",IF(AF105="","",AF105+AG105))</f>
        <v/>
      </c>
      <c r="AJ105" s="18">
        <f>IF(B105="","",IF(AE105="لم يدفع","🔒 مجمدة",IF(Z105="","",IF(Z105&lt;TODAY(),"⛔ منتهي - يتطلب تجديد",IF(Z105-5&lt;=TODAY(),"⚠️ قريب الانتهاء","✅ ساري")))))</f>
        <v/>
      </c>
      <c r="AK105" s="13" t="n"/>
      <c r="AL105" s="13" t="n"/>
      <c r="AM105" s="13" t="n"/>
      <c r="AN105" s="13" t="n"/>
      <c r="AO105" s="14">
        <f>IF(B105="","",IF(AK105&lt;&gt;"","الأحد والأربعاء",IF(AL105&lt;&gt;"","الاثنين والخميس",IF(AM105&lt;&gt;"","الثلاثاء والجمعة",IF(AN105&lt;&gt;"","كل الأيام","")))))</f>
        <v/>
      </c>
      <c r="AP105" s="13" t="n"/>
      <c r="AQ105" s="13" t="n"/>
      <c r="AR105" s="13" t="n"/>
      <c r="AS105" s="13" t="n"/>
      <c r="AT105" s="14">
        <f>IF(B105="","",IF(AP105&lt;&gt;"","09:00-10:00",IF(AQ105&lt;&gt;"","10:00-11:00",IF(AR105&lt;&gt;"","19:00-20:00",IF(AS105&lt;&gt;"","20:00-21:00","")))))</f>
        <v/>
      </c>
      <c r="AU105" s="19">
        <f>IF(B105="","",COUNTA(التجديد!E105:E105))</f>
        <v/>
      </c>
    </row>
    <row r="106" ht="22" customHeight="1">
      <c r="A106" s="10">
        <f>IF(B106="","","RCS "&amp;TEXT(ROW()-2,"000"))</f>
        <v/>
      </c>
      <c r="B106" s="11" t="n"/>
      <c r="C106" s="11" t="n"/>
      <c r="D106" s="12" t="n"/>
      <c r="E106" s="13" t="n"/>
      <c r="F106" s="13" t="n"/>
      <c r="G106" s="14">
        <f>IF(B106="","",IF(E106&lt;&gt;"","ذكر",IF(F106&lt;&gt;"","أنثى","")))</f>
        <v/>
      </c>
      <c r="H106" s="14">
        <f>IF(D106="","",DATEDIF(D106,TODAY(),"Y"))</f>
        <v/>
      </c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4">
        <f>IF(B106="","",IF(I106&lt;&gt;"","A+",IF(J106&lt;&gt;"","A-",IF(K106&lt;&gt;"","B+",IF(L106&lt;&gt;"","B-",IF(M106&lt;&gt;"","O+",IF(N106&lt;&gt;"","O-",IF(O106&lt;&gt;"","AB+",IF(P106&lt;&gt;"","AB-",""))))))))</f>
        <v/>
      </c>
      <c r="R106" s="13" t="n"/>
      <c r="S106" s="13" t="n"/>
      <c r="T106" s="13" t="n"/>
      <c r="U106" s="13" t="n"/>
      <c r="V106" s="13" t="n"/>
      <c r="W106" s="13" t="n"/>
      <c r="X106" s="14">
        <f>IF(B106="","",IF(R106&lt;&gt;"","/",IF(S106&lt;&gt;"","OPOW",IF(T106&lt;&gt;"","DJS",IF(U106&lt;&gt;"","FCS",IF(V106&lt;&gt;"","RCS",IF(W106&lt;&gt;"","POLICE","")))))))</f>
        <v/>
      </c>
      <c r="Y106" s="12" t="n"/>
      <c r="Z106" s="15">
        <f>IF(Y106="","",Y106+30)</f>
        <v/>
      </c>
      <c r="AA106" s="13" t="n"/>
      <c r="AB106" s="13" t="n"/>
      <c r="AC106" s="13" t="n"/>
      <c r="AD106" s="13" t="n"/>
      <c r="AE106" s="14">
        <f>IF(B106="","",IF(AA106&lt;&gt;"","مدفوع",IF(AB106&lt;&gt;"","لم يدفع",IF(AC106&lt;&gt;"","تأمين فقط",IF(AD106&lt;&gt;"","اشتراك 300","")))))</f>
        <v/>
      </c>
      <c r="AF106" s="16">
        <f>IF(OR(AE106="لم يدفع",B106=""),"",IF(OR(AE106="تأمين فقط",X106="FCS",X106="RCS"),0,IF(OR(AE106="اشتراك 300",X106="POLICE",X106="OPOW",X106="DJS"),300,IF(H106&lt;14,1300,1500))))</f>
        <v/>
      </c>
      <c r="AG106" s="16">
        <f>IF(OR(AE106="لم يدفع",B106=""),"",500)</f>
        <v/>
      </c>
      <c r="AH106" s="16">
        <f>IF(OR(AE106="لم يدفع",AE106="تأمين فقط",AE106="اشتراك 300",X106="OPOW",X106="DJS",X106="FCS",X106="RCS",X106="POLICE",B106=""),"",1000)</f>
        <v/>
      </c>
      <c r="AI106" s="17">
        <f>IF(AE106="لم يدفع","",IF(AF106="","",AF106+AG106))</f>
        <v/>
      </c>
      <c r="AJ106" s="18">
        <f>IF(B106="","",IF(AE106="لم يدفع","🔒 مجمدة",IF(Z106="","",IF(Z106&lt;TODAY(),"⛔ منتهي - يتطلب تجديد",IF(Z106-5&lt;=TODAY(),"⚠️ قريب الانتهاء","✅ ساري")))))</f>
        <v/>
      </c>
      <c r="AK106" s="13" t="n"/>
      <c r="AL106" s="13" t="n"/>
      <c r="AM106" s="13" t="n"/>
      <c r="AN106" s="13" t="n"/>
      <c r="AO106" s="14">
        <f>IF(B106="","",IF(AK106&lt;&gt;"","الأحد والأربعاء",IF(AL106&lt;&gt;"","الاثنين والخميس",IF(AM106&lt;&gt;"","الثلاثاء والجمعة",IF(AN106&lt;&gt;"","كل الأيام","")))))</f>
        <v/>
      </c>
      <c r="AP106" s="13" t="n"/>
      <c r="AQ106" s="13" t="n"/>
      <c r="AR106" s="13" t="n"/>
      <c r="AS106" s="13" t="n"/>
      <c r="AT106" s="14">
        <f>IF(B106="","",IF(AP106&lt;&gt;"","09:00-10:00",IF(AQ106&lt;&gt;"","10:00-11:00",IF(AR106&lt;&gt;"","19:00-20:00",IF(AS106&lt;&gt;"","20:00-21:00","")))))</f>
        <v/>
      </c>
      <c r="AU106" s="19">
        <f>IF(B106="","",COUNTA(التجديد!E106:E106))</f>
        <v/>
      </c>
    </row>
    <row r="107" ht="22" customHeight="1">
      <c r="A107" s="10">
        <f>IF(B107="","","RCS "&amp;TEXT(ROW()-2,"000"))</f>
        <v/>
      </c>
      <c r="B107" s="11" t="n"/>
      <c r="C107" s="11" t="n"/>
      <c r="D107" s="12" t="n"/>
      <c r="E107" s="13" t="n"/>
      <c r="F107" s="13" t="n"/>
      <c r="G107" s="14">
        <f>IF(B107="","",IF(E107&lt;&gt;"","ذكر",IF(F107&lt;&gt;"","أنثى","")))</f>
        <v/>
      </c>
      <c r="H107" s="14">
        <f>IF(D107="","",DATEDIF(D107,TODAY(),"Y"))</f>
        <v/>
      </c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4">
        <f>IF(B107="","",IF(I107&lt;&gt;"","A+",IF(J107&lt;&gt;"","A-",IF(K107&lt;&gt;"","B+",IF(L107&lt;&gt;"","B-",IF(M107&lt;&gt;"","O+",IF(N107&lt;&gt;"","O-",IF(O107&lt;&gt;"","AB+",IF(P107&lt;&gt;"","AB-",""))))))))</f>
        <v/>
      </c>
      <c r="R107" s="13" t="n"/>
      <c r="S107" s="13" t="n"/>
      <c r="T107" s="13" t="n"/>
      <c r="U107" s="13" t="n"/>
      <c r="V107" s="13" t="n"/>
      <c r="W107" s="13" t="n"/>
      <c r="X107" s="14">
        <f>IF(B107="","",IF(R107&lt;&gt;"","/",IF(S107&lt;&gt;"","OPOW",IF(T107&lt;&gt;"","DJS",IF(U107&lt;&gt;"","FCS",IF(V107&lt;&gt;"","RCS",IF(W107&lt;&gt;"","POLICE","")))))))</f>
        <v/>
      </c>
      <c r="Y107" s="12" t="n"/>
      <c r="Z107" s="15">
        <f>IF(Y107="","",Y107+30)</f>
        <v/>
      </c>
      <c r="AA107" s="13" t="n"/>
      <c r="AB107" s="13" t="n"/>
      <c r="AC107" s="13" t="n"/>
      <c r="AD107" s="13" t="n"/>
      <c r="AE107" s="14">
        <f>IF(B107="","",IF(AA107&lt;&gt;"","مدفوع",IF(AB107&lt;&gt;"","لم يدفع",IF(AC107&lt;&gt;"","تأمين فقط",IF(AD107&lt;&gt;"","اشتراك 300","")))))</f>
        <v/>
      </c>
      <c r="AF107" s="16">
        <f>IF(OR(AE107="لم يدفع",B107=""),"",IF(OR(AE107="تأمين فقط",X107="FCS",X107="RCS"),0,IF(OR(AE107="اشتراك 300",X107="POLICE",X107="OPOW",X107="DJS"),300,IF(H107&lt;14,1300,1500))))</f>
        <v/>
      </c>
      <c r="AG107" s="16">
        <f>IF(OR(AE107="لم يدفع",B107=""),"",500)</f>
        <v/>
      </c>
      <c r="AH107" s="16">
        <f>IF(OR(AE107="لم يدفع",AE107="تأمين فقط",AE107="اشتراك 300",X107="OPOW",X107="DJS",X107="FCS",X107="RCS",X107="POLICE",B107=""),"",1000)</f>
        <v/>
      </c>
      <c r="AI107" s="17">
        <f>IF(AE107="لم يدفع","",IF(AF107="","",AF107+AG107))</f>
        <v/>
      </c>
      <c r="AJ107" s="18">
        <f>IF(B107="","",IF(AE107="لم يدفع","🔒 مجمدة",IF(Z107="","",IF(Z107&lt;TODAY(),"⛔ منتهي - يتطلب تجديد",IF(Z107-5&lt;=TODAY(),"⚠️ قريب الانتهاء","✅ ساري")))))</f>
        <v/>
      </c>
      <c r="AK107" s="13" t="n"/>
      <c r="AL107" s="13" t="n"/>
      <c r="AM107" s="13" t="n"/>
      <c r="AN107" s="13" t="n"/>
      <c r="AO107" s="14">
        <f>IF(B107="","",IF(AK107&lt;&gt;"","الأحد والأربعاء",IF(AL107&lt;&gt;"","الاثنين والخميس",IF(AM107&lt;&gt;"","الثلاثاء والجمعة",IF(AN107&lt;&gt;"","كل الأيام","")))))</f>
        <v/>
      </c>
      <c r="AP107" s="13" t="n"/>
      <c r="AQ107" s="13" t="n"/>
      <c r="AR107" s="13" t="n"/>
      <c r="AS107" s="13" t="n"/>
      <c r="AT107" s="14">
        <f>IF(B107="","",IF(AP107&lt;&gt;"","09:00-10:00",IF(AQ107&lt;&gt;"","10:00-11:00",IF(AR107&lt;&gt;"","19:00-20:00",IF(AS107&lt;&gt;"","20:00-21:00","")))))</f>
        <v/>
      </c>
      <c r="AU107" s="19">
        <f>IF(B107="","",COUNTA(التجديد!E107:E107))</f>
        <v/>
      </c>
    </row>
    <row r="108" ht="22" customHeight="1">
      <c r="A108" s="10">
        <f>IF(B108="","","RCS "&amp;TEXT(ROW()-2,"000"))</f>
        <v/>
      </c>
      <c r="B108" s="11" t="n"/>
      <c r="C108" s="11" t="n"/>
      <c r="D108" s="12" t="n"/>
      <c r="E108" s="13" t="n"/>
      <c r="F108" s="13" t="n"/>
      <c r="G108" s="14">
        <f>IF(B108="","",IF(E108&lt;&gt;"","ذكر",IF(F108&lt;&gt;"","أنثى","")))</f>
        <v/>
      </c>
      <c r="H108" s="14">
        <f>IF(D108="","",DATEDIF(D108,TODAY(),"Y"))</f>
        <v/>
      </c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4">
        <f>IF(B108="","",IF(I108&lt;&gt;"","A+",IF(J108&lt;&gt;"","A-",IF(K108&lt;&gt;"","B+",IF(L108&lt;&gt;"","B-",IF(M108&lt;&gt;"","O+",IF(N108&lt;&gt;"","O-",IF(O108&lt;&gt;"","AB+",IF(P108&lt;&gt;"","AB-",""))))))))</f>
        <v/>
      </c>
      <c r="R108" s="13" t="n"/>
      <c r="S108" s="13" t="n"/>
      <c r="T108" s="13" t="n"/>
      <c r="U108" s="13" t="n"/>
      <c r="V108" s="13" t="n"/>
      <c r="W108" s="13" t="n"/>
      <c r="X108" s="14">
        <f>IF(B108="","",IF(R108&lt;&gt;"","/",IF(S108&lt;&gt;"","OPOW",IF(T108&lt;&gt;"","DJS",IF(U108&lt;&gt;"","FCS",IF(V108&lt;&gt;"","RCS",IF(W108&lt;&gt;"","POLICE","")))))))</f>
        <v/>
      </c>
      <c r="Y108" s="12" t="n"/>
      <c r="Z108" s="15">
        <f>IF(Y108="","",Y108+30)</f>
        <v/>
      </c>
      <c r="AA108" s="13" t="n"/>
      <c r="AB108" s="13" t="n"/>
      <c r="AC108" s="13" t="n"/>
      <c r="AD108" s="13" t="n"/>
      <c r="AE108" s="14">
        <f>IF(B108="","",IF(AA108&lt;&gt;"","مدفوع",IF(AB108&lt;&gt;"","لم يدفع",IF(AC108&lt;&gt;"","تأمين فقط",IF(AD108&lt;&gt;"","اشتراك 300","")))))</f>
        <v/>
      </c>
      <c r="AF108" s="16">
        <f>IF(OR(AE108="لم يدفع",B108=""),"",IF(OR(AE108="تأمين فقط",X108="FCS",X108="RCS"),0,IF(OR(AE108="اشتراك 300",X108="POLICE",X108="OPOW",X108="DJS"),300,IF(H108&lt;14,1300,1500))))</f>
        <v/>
      </c>
      <c r="AG108" s="16">
        <f>IF(OR(AE108="لم يدفع",B108=""),"",500)</f>
        <v/>
      </c>
      <c r="AH108" s="16">
        <f>IF(OR(AE108="لم يدفع",AE108="تأمين فقط",AE108="اشتراك 300",X108="OPOW",X108="DJS",X108="FCS",X108="RCS",X108="POLICE",B108=""),"",1000)</f>
        <v/>
      </c>
      <c r="AI108" s="17">
        <f>IF(AE108="لم يدفع","",IF(AF108="","",AF108+AG108))</f>
        <v/>
      </c>
      <c r="AJ108" s="18">
        <f>IF(B108="","",IF(AE108="لم يدفع","🔒 مجمدة",IF(Z108="","",IF(Z108&lt;TODAY(),"⛔ منتهي - يتطلب تجديد",IF(Z108-5&lt;=TODAY(),"⚠️ قريب الانتهاء","✅ ساري")))))</f>
        <v/>
      </c>
      <c r="AK108" s="13" t="n"/>
      <c r="AL108" s="13" t="n"/>
      <c r="AM108" s="13" t="n"/>
      <c r="AN108" s="13" t="n"/>
      <c r="AO108" s="14">
        <f>IF(B108="","",IF(AK108&lt;&gt;"","الأحد والأربعاء",IF(AL108&lt;&gt;"","الاثنين والخميس",IF(AM108&lt;&gt;"","الثلاثاء والجمعة",IF(AN108&lt;&gt;"","كل الأيام","")))))</f>
        <v/>
      </c>
      <c r="AP108" s="13" t="n"/>
      <c r="AQ108" s="13" t="n"/>
      <c r="AR108" s="13" t="n"/>
      <c r="AS108" s="13" t="n"/>
      <c r="AT108" s="14">
        <f>IF(B108="","",IF(AP108&lt;&gt;"","09:00-10:00",IF(AQ108&lt;&gt;"","10:00-11:00",IF(AR108&lt;&gt;"","19:00-20:00",IF(AS108&lt;&gt;"","20:00-21:00","")))))</f>
        <v/>
      </c>
      <c r="AU108" s="19">
        <f>IF(B108="","",COUNTA(التجديد!E108:E108))</f>
        <v/>
      </c>
    </row>
    <row r="109" ht="22" customHeight="1">
      <c r="A109" s="10">
        <f>IF(B109="","","RCS "&amp;TEXT(ROW()-2,"000"))</f>
        <v/>
      </c>
      <c r="B109" s="11" t="n"/>
      <c r="C109" s="11" t="n"/>
      <c r="D109" s="12" t="n"/>
      <c r="E109" s="13" t="n"/>
      <c r="F109" s="13" t="n"/>
      <c r="G109" s="14">
        <f>IF(B109="","",IF(E109&lt;&gt;"","ذكر",IF(F109&lt;&gt;"","أنثى","")))</f>
        <v/>
      </c>
      <c r="H109" s="14">
        <f>IF(D109="","",DATEDIF(D109,TODAY(),"Y"))</f>
        <v/>
      </c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4">
        <f>IF(B109="","",IF(I109&lt;&gt;"","A+",IF(J109&lt;&gt;"","A-",IF(K109&lt;&gt;"","B+",IF(L109&lt;&gt;"","B-",IF(M109&lt;&gt;"","O+",IF(N109&lt;&gt;"","O-",IF(O109&lt;&gt;"","AB+",IF(P109&lt;&gt;"","AB-",""))))))))</f>
        <v/>
      </c>
      <c r="R109" s="13" t="n"/>
      <c r="S109" s="13" t="n"/>
      <c r="T109" s="13" t="n"/>
      <c r="U109" s="13" t="n"/>
      <c r="V109" s="13" t="n"/>
      <c r="W109" s="13" t="n"/>
      <c r="X109" s="14">
        <f>IF(B109="","",IF(R109&lt;&gt;"","/",IF(S109&lt;&gt;"","OPOW",IF(T109&lt;&gt;"","DJS",IF(U109&lt;&gt;"","FCS",IF(V109&lt;&gt;"","RCS",IF(W109&lt;&gt;"","POLICE","")))))))</f>
        <v/>
      </c>
      <c r="Y109" s="12" t="n"/>
      <c r="Z109" s="15">
        <f>IF(Y109="","",Y109+30)</f>
        <v/>
      </c>
      <c r="AA109" s="13" t="n"/>
      <c r="AB109" s="13" t="n"/>
      <c r="AC109" s="13" t="n"/>
      <c r="AD109" s="13" t="n"/>
      <c r="AE109" s="14">
        <f>IF(B109="","",IF(AA109&lt;&gt;"","مدفوع",IF(AB109&lt;&gt;"","لم يدفع",IF(AC109&lt;&gt;"","تأمين فقط",IF(AD109&lt;&gt;"","اشتراك 300","")))))</f>
        <v/>
      </c>
      <c r="AF109" s="16">
        <f>IF(OR(AE109="لم يدفع",B109=""),"",IF(OR(AE109="تأمين فقط",X109="FCS",X109="RCS"),0,IF(OR(AE109="اشتراك 300",X109="POLICE",X109="OPOW",X109="DJS"),300,IF(H109&lt;14,1300,1500))))</f>
        <v/>
      </c>
      <c r="AG109" s="16">
        <f>IF(OR(AE109="لم يدفع",B109=""),"",500)</f>
        <v/>
      </c>
      <c r="AH109" s="16">
        <f>IF(OR(AE109="لم يدفع",AE109="تأمين فقط",AE109="اشتراك 300",X109="OPOW",X109="DJS",X109="FCS",X109="RCS",X109="POLICE",B109=""),"",1000)</f>
        <v/>
      </c>
      <c r="AI109" s="17">
        <f>IF(AE109="لم يدفع","",IF(AF109="","",AF109+AG109))</f>
        <v/>
      </c>
      <c r="AJ109" s="18">
        <f>IF(B109="","",IF(AE109="لم يدفع","🔒 مجمدة",IF(Z109="","",IF(Z109&lt;TODAY(),"⛔ منتهي - يتطلب تجديد",IF(Z109-5&lt;=TODAY(),"⚠️ قريب الانتهاء","✅ ساري")))))</f>
        <v/>
      </c>
      <c r="AK109" s="13" t="n"/>
      <c r="AL109" s="13" t="n"/>
      <c r="AM109" s="13" t="n"/>
      <c r="AN109" s="13" t="n"/>
      <c r="AO109" s="14">
        <f>IF(B109="","",IF(AK109&lt;&gt;"","الأحد والأربعاء",IF(AL109&lt;&gt;"","الاثنين والخميس",IF(AM109&lt;&gt;"","الثلاثاء والجمعة",IF(AN109&lt;&gt;"","كل الأيام","")))))</f>
        <v/>
      </c>
      <c r="AP109" s="13" t="n"/>
      <c r="AQ109" s="13" t="n"/>
      <c r="AR109" s="13" t="n"/>
      <c r="AS109" s="13" t="n"/>
      <c r="AT109" s="14">
        <f>IF(B109="","",IF(AP109&lt;&gt;"","09:00-10:00",IF(AQ109&lt;&gt;"","10:00-11:00",IF(AR109&lt;&gt;"","19:00-20:00",IF(AS109&lt;&gt;"","20:00-21:00","")))))</f>
        <v/>
      </c>
      <c r="AU109" s="19">
        <f>IF(B109="","",COUNTA(التجديد!E109:E109))</f>
        <v/>
      </c>
    </row>
    <row r="110" ht="22" customHeight="1">
      <c r="A110" s="10">
        <f>IF(B110="","","RCS "&amp;TEXT(ROW()-2,"000"))</f>
        <v/>
      </c>
      <c r="B110" s="11" t="n"/>
      <c r="C110" s="11" t="n"/>
      <c r="D110" s="12" t="n"/>
      <c r="E110" s="13" t="n"/>
      <c r="F110" s="13" t="n"/>
      <c r="G110" s="14">
        <f>IF(B110="","",IF(E110&lt;&gt;"","ذكر",IF(F110&lt;&gt;"","أنثى","")))</f>
        <v/>
      </c>
      <c r="H110" s="14">
        <f>IF(D110="","",DATEDIF(D110,TODAY(),"Y"))</f>
        <v/>
      </c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4">
        <f>IF(B110="","",IF(I110&lt;&gt;"","A+",IF(J110&lt;&gt;"","A-",IF(K110&lt;&gt;"","B+",IF(L110&lt;&gt;"","B-",IF(M110&lt;&gt;"","O+",IF(N110&lt;&gt;"","O-",IF(O110&lt;&gt;"","AB+",IF(P110&lt;&gt;"","AB-",""))))))))</f>
        <v/>
      </c>
      <c r="R110" s="13" t="n"/>
      <c r="S110" s="13" t="n"/>
      <c r="T110" s="13" t="n"/>
      <c r="U110" s="13" t="n"/>
      <c r="V110" s="13" t="n"/>
      <c r="W110" s="13" t="n"/>
      <c r="X110" s="14">
        <f>IF(B110="","",IF(R110&lt;&gt;"","/",IF(S110&lt;&gt;"","OPOW",IF(T110&lt;&gt;"","DJS",IF(U110&lt;&gt;"","FCS",IF(V110&lt;&gt;"","RCS",IF(W110&lt;&gt;"","POLICE","")))))))</f>
        <v/>
      </c>
      <c r="Y110" s="12" t="n"/>
      <c r="Z110" s="15">
        <f>IF(Y110="","",Y110+30)</f>
        <v/>
      </c>
      <c r="AA110" s="13" t="n"/>
      <c r="AB110" s="13" t="n"/>
      <c r="AC110" s="13" t="n"/>
      <c r="AD110" s="13" t="n"/>
      <c r="AE110" s="14">
        <f>IF(B110="","",IF(AA110&lt;&gt;"","مدفوع",IF(AB110&lt;&gt;"","لم يدفع",IF(AC110&lt;&gt;"","تأمين فقط",IF(AD110&lt;&gt;"","اشتراك 300","")))))</f>
        <v/>
      </c>
      <c r="AF110" s="16">
        <f>IF(OR(AE110="لم يدفع",B110=""),"",IF(OR(AE110="تأمين فقط",X110="FCS",X110="RCS"),0,IF(OR(AE110="اشتراك 300",X110="POLICE",X110="OPOW",X110="DJS"),300,IF(H110&lt;14,1300,1500))))</f>
        <v/>
      </c>
      <c r="AG110" s="16">
        <f>IF(OR(AE110="لم يدفع",B110=""),"",500)</f>
        <v/>
      </c>
      <c r="AH110" s="16">
        <f>IF(OR(AE110="لم يدفع",AE110="تأمين فقط",AE110="اشتراك 300",X110="OPOW",X110="DJS",X110="FCS",X110="RCS",X110="POLICE",B110=""),"",1000)</f>
        <v/>
      </c>
      <c r="AI110" s="17">
        <f>IF(AE110="لم يدفع","",IF(AF110="","",AF110+AG110))</f>
        <v/>
      </c>
      <c r="AJ110" s="18">
        <f>IF(B110="","",IF(AE110="لم يدفع","🔒 مجمدة",IF(Z110="","",IF(Z110&lt;TODAY(),"⛔ منتهي - يتطلب تجديد",IF(Z110-5&lt;=TODAY(),"⚠️ قريب الانتهاء","✅ ساري")))))</f>
        <v/>
      </c>
      <c r="AK110" s="13" t="n"/>
      <c r="AL110" s="13" t="n"/>
      <c r="AM110" s="13" t="n"/>
      <c r="AN110" s="13" t="n"/>
      <c r="AO110" s="14">
        <f>IF(B110="","",IF(AK110&lt;&gt;"","الأحد والأربعاء",IF(AL110&lt;&gt;"","الاثنين والخميس",IF(AM110&lt;&gt;"","الثلاثاء والجمعة",IF(AN110&lt;&gt;"","كل الأيام","")))))</f>
        <v/>
      </c>
      <c r="AP110" s="13" t="n"/>
      <c r="AQ110" s="13" t="n"/>
      <c r="AR110" s="13" t="n"/>
      <c r="AS110" s="13" t="n"/>
      <c r="AT110" s="14">
        <f>IF(B110="","",IF(AP110&lt;&gt;"","09:00-10:00",IF(AQ110&lt;&gt;"","10:00-11:00",IF(AR110&lt;&gt;"","19:00-20:00",IF(AS110&lt;&gt;"","20:00-21:00","")))))</f>
        <v/>
      </c>
      <c r="AU110" s="19">
        <f>IF(B110="","",COUNTA(التجديد!E110:E110))</f>
        <v/>
      </c>
    </row>
    <row r="111" ht="22" customHeight="1">
      <c r="A111" s="10">
        <f>IF(B111="","","RCS "&amp;TEXT(ROW()-2,"000"))</f>
        <v/>
      </c>
      <c r="B111" s="11" t="n"/>
      <c r="C111" s="11" t="n"/>
      <c r="D111" s="12" t="n"/>
      <c r="E111" s="13" t="n"/>
      <c r="F111" s="13" t="n"/>
      <c r="G111" s="14">
        <f>IF(B111="","",IF(E111&lt;&gt;"","ذكر",IF(F111&lt;&gt;"","أنثى","")))</f>
        <v/>
      </c>
      <c r="H111" s="14">
        <f>IF(D111="","",DATEDIF(D111,TODAY(),"Y"))</f>
        <v/>
      </c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4">
        <f>IF(B111="","",IF(I111&lt;&gt;"","A+",IF(J111&lt;&gt;"","A-",IF(K111&lt;&gt;"","B+",IF(L111&lt;&gt;"","B-",IF(M111&lt;&gt;"","O+",IF(N111&lt;&gt;"","O-",IF(O111&lt;&gt;"","AB+",IF(P111&lt;&gt;"","AB-",""))))))))</f>
        <v/>
      </c>
      <c r="R111" s="13" t="n"/>
      <c r="S111" s="13" t="n"/>
      <c r="T111" s="13" t="n"/>
      <c r="U111" s="13" t="n"/>
      <c r="V111" s="13" t="n"/>
      <c r="W111" s="13" t="n"/>
      <c r="X111" s="14">
        <f>IF(B111="","",IF(R111&lt;&gt;"","/",IF(S111&lt;&gt;"","OPOW",IF(T111&lt;&gt;"","DJS",IF(U111&lt;&gt;"","FCS",IF(V111&lt;&gt;"","RCS",IF(W111&lt;&gt;"","POLICE","")))))))</f>
        <v/>
      </c>
      <c r="Y111" s="12" t="n"/>
      <c r="Z111" s="15">
        <f>IF(Y111="","",Y111+30)</f>
        <v/>
      </c>
      <c r="AA111" s="13" t="n"/>
      <c r="AB111" s="13" t="n"/>
      <c r="AC111" s="13" t="n"/>
      <c r="AD111" s="13" t="n"/>
      <c r="AE111" s="14">
        <f>IF(B111="","",IF(AA111&lt;&gt;"","مدفوع",IF(AB111&lt;&gt;"","لم يدفع",IF(AC111&lt;&gt;"","تأمين فقط",IF(AD111&lt;&gt;"","اشتراك 300","")))))</f>
        <v/>
      </c>
      <c r="AF111" s="16">
        <f>IF(OR(AE111="لم يدفع",B111=""),"",IF(OR(AE111="تأمين فقط",X111="FCS",X111="RCS"),0,IF(OR(AE111="اشتراك 300",X111="POLICE",X111="OPOW",X111="DJS"),300,IF(H111&lt;14,1300,1500))))</f>
        <v/>
      </c>
      <c r="AG111" s="16">
        <f>IF(OR(AE111="لم يدفع",B111=""),"",500)</f>
        <v/>
      </c>
      <c r="AH111" s="16">
        <f>IF(OR(AE111="لم يدفع",AE111="تأمين فقط",AE111="اشتراك 300",X111="OPOW",X111="DJS",X111="FCS",X111="RCS",X111="POLICE",B111=""),"",1000)</f>
        <v/>
      </c>
      <c r="AI111" s="17">
        <f>IF(AE111="لم يدفع","",IF(AF111="","",AF111+AG111))</f>
        <v/>
      </c>
      <c r="AJ111" s="18">
        <f>IF(B111="","",IF(AE111="لم يدفع","🔒 مجمدة",IF(Z111="","",IF(Z111&lt;TODAY(),"⛔ منتهي - يتطلب تجديد",IF(Z111-5&lt;=TODAY(),"⚠️ قريب الانتهاء","✅ ساري")))))</f>
        <v/>
      </c>
      <c r="AK111" s="13" t="n"/>
      <c r="AL111" s="13" t="n"/>
      <c r="AM111" s="13" t="n"/>
      <c r="AN111" s="13" t="n"/>
      <c r="AO111" s="14">
        <f>IF(B111="","",IF(AK111&lt;&gt;"","الأحد والأربعاء",IF(AL111&lt;&gt;"","الاثنين والخميس",IF(AM111&lt;&gt;"","الثلاثاء والجمعة",IF(AN111&lt;&gt;"","كل الأيام","")))))</f>
        <v/>
      </c>
      <c r="AP111" s="13" t="n"/>
      <c r="AQ111" s="13" t="n"/>
      <c r="AR111" s="13" t="n"/>
      <c r="AS111" s="13" t="n"/>
      <c r="AT111" s="14">
        <f>IF(B111="","",IF(AP111&lt;&gt;"","09:00-10:00",IF(AQ111&lt;&gt;"","10:00-11:00",IF(AR111&lt;&gt;"","19:00-20:00",IF(AS111&lt;&gt;"","20:00-21:00","")))))</f>
        <v/>
      </c>
      <c r="AU111" s="19">
        <f>IF(B111="","",COUNTA(التجديد!E111:E111))</f>
        <v/>
      </c>
    </row>
    <row r="112" ht="22" customHeight="1">
      <c r="A112" s="10">
        <f>IF(B112="","","RCS "&amp;TEXT(ROW()-2,"000"))</f>
        <v/>
      </c>
      <c r="B112" s="11" t="n"/>
      <c r="C112" s="11" t="n"/>
      <c r="D112" s="12" t="n"/>
      <c r="E112" s="13" t="n"/>
      <c r="F112" s="13" t="n"/>
      <c r="G112" s="14">
        <f>IF(B112="","",IF(E112&lt;&gt;"","ذكر",IF(F112&lt;&gt;"","أنثى","")))</f>
        <v/>
      </c>
      <c r="H112" s="14">
        <f>IF(D112="","",DATEDIF(D112,TODAY(),"Y"))</f>
        <v/>
      </c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4">
        <f>IF(B112="","",IF(I112&lt;&gt;"","A+",IF(J112&lt;&gt;"","A-",IF(K112&lt;&gt;"","B+",IF(L112&lt;&gt;"","B-",IF(M112&lt;&gt;"","O+",IF(N112&lt;&gt;"","O-",IF(O112&lt;&gt;"","AB+",IF(P112&lt;&gt;"","AB-",""))))))))</f>
        <v/>
      </c>
      <c r="R112" s="13" t="n"/>
      <c r="S112" s="13" t="n"/>
      <c r="T112" s="13" t="n"/>
      <c r="U112" s="13" t="n"/>
      <c r="V112" s="13" t="n"/>
      <c r="W112" s="13" t="n"/>
      <c r="X112" s="14">
        <f>IF(B112="","",IF(R112&lt;&gt;"","/",IF(S112&lt;&gt;"","OPOW",IF(T112&lt;&gt;"","DJS",IF(U112&lt;&gt;"","FCS",IF(V112&lt;&gt;"","RCS",IF(W112&lt;&gt;"","POLICE","")))))))</f>
        <v/>
      </c>
      <c r="Y112" s="12" t="n"/>
      <c r="Z112" s="15">
        <f>IF(Y112="","",Y112+30)</f>
        <v/>
      </c>
      <c r="AA112" s="13" t="n"/>
      <c r="AB112" s="13" t="n"/>
      <c r="AC112" s="13" t="n"/>
      <c r="AD112" s="13" t="n"/>
      <c r="AE112" s="14">
        <f>IF(B112="","",IF(AA112&lt;&gt;"","مدفوع",IF(AB112&lt;&gt;"","لم يدفع",IF(AC112&lt;&gt;"","تأمين فقط",IF(AD112&lt;&gt;"","اشتراك 300","")))))</f>
        <v/>
      </c>
      <c r="AF112" s="16">
        <f>IF(OR(AE112="لم يدفع",B112=""),"",IF(OR(AE112="تأمين فقط",X112="FCS",X112="RCS"),0,IF(OR(AE112="اشتراك 300",X112="POLICE",X112="OPOW",X112="DJS"),300,IF(H112&lt;14,1300,1500))))</f>
        <v/>
      </c>
      <c r="AG112" s="16">
        <f>IF(OR(AE112="لم يدفع",B112=""),"",500)</f>
        <v/>
      </c>
      <c r="AH112" s="16">
        <f>IF(OR(AE112="لم يدفع",AE112="تأمين فقط",AE112="اشتراك 300",X112="OPOW",X112="DJS",X112="FCS",X112="RCS",X112="POLICE",B112=""),"",1000)</f>
        <v/>
      </c>
      <c r="AI112" s="17">
        <f>IF(AE112="لم يدفع","",IF(AF112="","",AF112+AG112))</f>
        <v/>
      </c>
      <c r="AJ112" s="18">
        <f>IF(B112="","",IF(AE112="لم يدفع","🔒 مجمدة",IF(Z112="","",IF(Z112&lt;TODAY(),"⛔ منتهي - يتطلب تجديد",IF(Z112-5&lt;=TODAY(),"⚠️ قريب الانتهاء","✅ ساري")))))</f>
        <v/>
      </c>
      <c r="AK112" s="13" t="n"/>
      <c r="AL112" s="13" t="n"/>
      <c r="AM112" s="13" t="n"/>
      <c r="AN112" s="13" t="n"/>
      <c r="AO112" s="14">
        <f>IF(B112="","",IF(AK112&lt;&gt;"","الأحد والأربعاء",IF(AL112&lt;&gt;"","الاثنين والخميس",IF(AM112&lt;&gt;"","الثلاثاء والجمعة",IF(AN112&lt;&gt;"","كل الأيام","")))))</f>
        <v/>
      </c>
      <c r="AP112" s="13" t="n"/>
      <c r="AQ112" s="13" t="n"/>
      <c r="AR112" s="13" t="n"/>
      <c r="AS112" s="13" t="n"/>
      <c r="AT112" s="14">
        <f>IF(B112="","",IF(AP112&lt;&gt;"","09:00-10:00",IF(AQ112&lt;&gt;"","10:00-11:00",IF(AR112&lt;&gt;"","19:00-20:00",IF(AS112&lt;&gt;"","20:00-21:00","")))))</f>
        <v/>
      </c>
      <c r="AU112" s="19">
        <f>IF(B112="","",COUNTA(التجديد!E112:E112))</f>
        <v/>
      </c>
    </row>
    <row r="113" ht="22" customHeight="1">
      <c r="A113" s="10">
        <f>IF(B113="","","RCS "&amp;TEXT(ROW()-2,"000"))</f>
        <v/>
      </c>
      <c r="B113" s="11" t="n"/>
      <c r="C113" s="11" t="n"/>
      <c r="D113" s="12" t="n"/>
      <c r="E113" s="13" t="n"/>
      <c r="F113" s="13" t="n"/>
      <c r="G113" s="14">
        <f>IF(B113="","",IF(E113&lt;&gt;"","ذكر",IF(F113&lt;&gt;"","أنثى","")))</f>
        <v/>
      </c>
      <c r="H113" s="14">
        <f>IF(D113="","",DATEDIF(D113,TODAY(),"Y"))</f>
        <v/>
      </c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4">
        <f>IF(B113="","",IF(I113&lt;&gt;"","A+",IF(J113&lt;&gt;"","A-",IF(K113&lt;&gt;"","B+",IF(L113&lt;&gt;"","B-",IF(M113&lt;&gt;"","O+",IF(N113&lt;&gt;"","O-",IF(O113&lt;&gt;"","AB+",IF(P113&lt;&gt;"","AB-",""))))))))</f>
        <v/>
      </c>
      <c r="R113" s="13" t="n"/>
      <c r="S113" s="13" t="n"/>
      <c r="T113" s="13" t="n"/>
      <c r="U113" s="13" t="n"/>
      <c r="V113" s="13" t="n"/>
      <c r="W113" s="13" t="n"/>
      <c r="X113" s="14">
        <f>IF(B113="","",IF(R113&lt;&gt;"","/",IF(S113&lt;&gt;"","OPOW",IF(T113&lt;&gt;"","DJS",IF(U113&lt;&gt;"","FCS",IF(V113&lt;&gt;"","RCS",IF(W113&lt;&gt;"","POLICE","")))))))</f>
        <v/>
      </c>
      <c r="Y113" s="12" t="n"/>
      <c r="Z113" s="15">
        <f>IF(Y113="","",Y113+30)</f>
        <v/>
      </c>
      <c r="AA113" s="13" t="n"/>
      <c r="AB113" s="13" t="n"/>
      <c r="AC113" s="13" t="n"/>
      <c r="AD113" s="13" t="n"/>
      <c r="AE113" s="14">
        <f>IF(B113="","",IF(AA113&lt;&gt;"","مدفوع",IF(AB113&lt;&gt;"","لم يدفع",IF(AC113&lt;&gt;"","تأمين فقط",IF(AD113&lt;&gt;"","اشتراك 300","")))))</f>
        <v/>
      </c>
      <c r="AF113" s="16">
        <f>IF(OR(AE113="لم يدفع",B113=""),"",IF(OR(AE113="تأمين فقط",X113="FCS",X113="RCS"),0,IF(OR(AE113="اشتراك 300",X113="POLICE",X113="OPOW",X113="DJS"),300,IF(H113&lt;14,1300,1500))))</f>
        <v/>
      </c>
      <c r="AG113" s="16">
        <f>IF(OR(AE113="لم يدفع",B113=""),"",500)</f>
        <v/>
      </c>
      <c r="AH113" s="16">
        <f>IF(OR(AE113="لم يدفع",AE113="تأمين فقط",AE113="اشتراك 300",X113="OPOW",X113="DJS",X113="FCS",X113="RCS",X113="POLICE",B113=""),"",1000)</f>
        <v/>
      </c>
      <c r="AI113" s="17">
        <f>IF(AE113="لم يدفع","",IF(AF113="","",AF113+AG113))</f>
        <v/>
      </c>
      <c r="AJ113" s="18">
        <f>IF(B113="","",IF(AE113="لم يدفع","🔒 مجمدة",IF(Z113="","",IF(Z113&lt;TODAY(),"⛔ منتهي - يتطلب تجديد",IF(Z113-5&lt;=TODAY(),"⚠️ قريب الانتهاء","✅ ساري")))))</f>
        <v/>
      </c>
      <c r="AK113" s="13" t="n"/>
      <c r="AL113" s="13" t="n"/>
      <c r="AM113" s="13" t="n"/>
      <c r="AN113" s="13" t="n"/>
      <c r="AO113" s="14">
        <f>IF(B113="","",IF(AK113&lt;&gt;"","الأحد والأربعاء",IF(AL113&lt;&gt;"","الاثنين والخميس",IF(AM113&lt;&gt;"","الثلاثاء والجمعة",IF(AN113&lt;&gt;"","كل الأيام","")))))</f>
        <v/>
      </c>
      <c r="AP113" s="13" t="n"/>
      <c r="AQ113" s="13" t="n"/>
      <c r="AR113" s="13" t="n"/>
      <c r="AS113" s="13" t="n"/>
      <c r="AT113" s="14">
        <f>IF(B113="","",IF(AP113&lt;&gt;"","09:00-10:00",IF(AQ113&lt;&gt;"","10:00-11:00",IF(AR113&lt;&gt;"","19:00-20:00",IF(AS113&lt;&gt;"","20:00-21:00","")))))</f>
        <v/>
      </c>
      <c r="AU113" s="19">
        <f>IF(B113="","",COUNTA(التجديد!E113:E113))</f>
        <v/>
      </c>
    </row>
    <row r="114" ht="22" customHeight="1">
      <c r="A114" s="10">
        <f>IF(B114="","","RCS "&amp;TEXT(ROW()-2,"000"))</f>
        <v/>
      </c>
      <c r="B114" s="11" t="n"/>
      <c r="C114" s="11" t="n"/>
      <c r="D114" s="12" t="n"/>
      <c r="E114" s="13" t="n"/>
      <c r="F114" s="13" t="n"/>
      <c r="G114" s="14">
        <f>IF(B114="","",IF(E114&lt;&gt;"","ذكر",IF(F114&lt;&gt;"","أنثى","")))</f>
        <v/>
      </c>
      <c r="H114" s="14">
        <f>IF(D114="","",DATEDIF(D114,TODAY(),"Y"))</f>
        <v/>
      </c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4">
        <f>IF(B114="","",IF(I114&lt;&gt;"","A+",IF(J114&lt;&gt;"","A-",IF(K114&lt;&gt;"","B+",IF(L114&lt;&gt;"","B-",IF(M114&lt;&gt;"","O+",IF(N114&lt;&gt;"","O-",IF(O114&lt;&gt;"","AB+",IF(P114&lt;&gt;"","AB-",""))))))))</f>
        <v/>
      </c>
      <c r="R114" s="13" t="n"/>
      <c r="S114" s="13" t="n"/>
      <c r="T114" s="13" t="n"/>
      <c r="U114" s="13" t="n"/>
      <c r="V114" s="13" t="n"/>
      <c r="W114" s="13" t="n"/>
      <c r="X114" s="14">
        <f>IF(B114="","",IF(R114&lt;&gt;"","/",IF(S114&lt;&gt;"","OPOW",IF(T114&lt;&gt;"","DJS",IF(U114&lt;&gt;"","FCS",IF(V114&lt;&gt;"","RCS",IF(W114&lt;&gt;"","POLICE","")))))))</f>
        <v/>
      </c>
      <c r="Y114" s="12" t="n"/>
      <c r="Z114" s="15">
        <f>IF(Y114="","",Y114+30)</f>
        <v/>
      </c>
      <c r="AA114" s="13" t="n"/>
      <c r="AB114" s="13" t="n"/>
      <c r="AC114" s="13" t="n"/>
      <c r="AD114" s="13" t="n"/>
      <c r="AE114" s="14">
        <f>IF(B114="","",IF(AA114&lt;&gt;"","مدفوع",IF(AB114&lt;&gt;"","لم يدفع",IF(AC114&lt;&gt;"","تأمين فقط",IF(AD114&lt;&gt;"","اشتراك 300","")))))</f>
        <v/>
      </c>
      <c r="AF114" s="16">
        <f>IF(OR(AE114="لم يدفع",B114=""),"",IF(OR(AE114="تأمين فقط",X114="FCS",X114="RCS"),0,IF(OR(AE114="اشتراك 300",X114="POLICE",X114="OPOW",X114="DJS"),300,IF(H114&lt;14,1300,1500))))</f>
        <v/>
      </c>
      <c r="AG114" s="16">
        <f>IF(OR(AE114="لم يدفع",B114=""),"",500)</f>
        <v/>
      </c>
      <c r="AH114" s="16">
        <f>IF(OR(AE114="لم يدفع",AE114="تأمين فقط",AE114="اشتراك 300",X114="OPOW",X114="DJS",X114="FCS",X114="RCS",X114="POLICE",B114=""),"",1000)</f>
        <v/>
      </c>
      <c r="AI114" s="17">
        <f>IF(AE114="لم يدفع","",IF(AF114="","",AF114+AG114))</f>
        <v/>
      </c>
      <c r="AJ114" s="18">
        <f>IF(B114="","",IF(AE114="لم يدفع","🔒 مجمدة",IF(Z114="","",IF(Z114&lt;TODAY(),"⛔ منتهي - يتطلب تجديد",IF(Z114-5&lt;=TODAY(),"⚠️ قريب الانتهاء","✅ ساري")))))</f>
        <v/>
      </c>
      <c r="AK114" s="13" t="n"/>
      <c r="AL114" s="13" t="n"/>
      <c r="AM114" s="13" t="n"/>
      <c r="AN114" s="13" t="n"/>
      <c r="AO114" s="14">
        <f>IF(B114="","",IF(AK114&lt;&gt;"","الأحد والأربعاء",IF(AL114&lt;&gt;"","الاثنين والخميس",IF(AM114&lt;&gt;"","الثلاثاء والجمعة",IF(AN114&lt;&gt;"","كل الأيام","")))))</f>
        <v/>
      </c>
      <c r="AP114" s="13" t="n"/>
      <c r="AQ114" s="13" t="n"/>
      <c r="AR114" s="13" t="n"/>
      <c r="AS114" s="13" t="n"/>
      <c r="AT114" s="14">
        <f>IF(B114="","",IF(AP114&lt;&gt;"","09:00-10:00",IF(AQ114&lt;&gt;"","10:00-11:00",IF(AR114&lt;&gt;"","19:00-20:00",IF(AS114&lt;&gt;"","20:00-21:00","")))))</f>
        <v/>
      </c>
      <c r="AU114" s="19">
        <f>IF(B114="","",COUNTA(التجديد!E114:E114))</f>
        <v/>
      </c>
    </row>
    <row r="115" ht="22" customHeight="1">
      <c r="A115" s="10">
        <f>IF(B115="","","RCS "&amp;TEXT(ROW()-2,"000"))</f>
        <v/>
      </c>
      <c r="B115" s="11" t="n"/>
      <c r="C115" s="11" t="n"/>
      <c r="D115" s="12" t="n"/>
      <c r="E115" s="13" t="n"/>
      <c r="F115" s="13" t="n"/>
      <c r="G115" s="14">
        <f>IF(B115="","",IF(E115&lt;&gt;"","ذكر",IF(F115&lt;&gt;"","أنثى","")))</f>
        <v/>
      </c>
      <c r="H115" s="14">
        <f>IF(D115="","",DATEDIF(D115,TODAY(),"Y"))</f>
        <v/>
      </c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4">
        <f>IF(B115="","",IF(I115&lt;&gt;"","A+",IF(J115&lt;&gt;"","A-",IF(K115&lt;&gt;"","B+",IF(L115&lt;&gt;"","B-",IF(M115&lt;&gt;"","O+",IF(N115&lt;&gt;"","O-",IF(O115&lt;&gt;"","AB+",IF(P115&lt;&gt;"","AB-",""))))))))</f>
        <v/>
      </c>
      <c r="R115" s="13" t="n"/>
      <c r="S115" s="13" t="n"/>
      <c r="T115" s="13" t="n"/>
      <c r="U115" s="13" t="n"/>
      <c r="V115" s="13" t="n"/>
      <c r="W115" s="13" t="n"/>
      <c r="X115" s="14">
        <f>IF(B115="","",IF(R115&lt;&gt;"","/",IF(S115&lt;&gt;"","OPOW",IF(T115&lt;&gt;"","DJS",IF(U115&lt;&gt;"","FCS",IF(V115&lt;&gt;"","RCS",IF(W115&lt;&gt;"","POLICE","")))))))</f>
        <v/>
      </c>
      <c r="Y115" s="12" t="n"/>
      <c r="Z115" s="15">
        <f>IF(Y115="","",Y115+30)</f>
        <v/>
      </c>
      <c r="AA115" s="13" t="n"/>
      <c r="AB115" s="13" t="n"/>
      <c r="AC115" s="13" t="n"/>
      <c r="AD115" s="13" t="n"/>
      <c r="AE115" s="14">
        <f>IF(B115="","",IF(AA115&lt;&gt;"","مدفوع",IF(AB115&lt;&gt;"","لم يدفع",IF(AC115&lt;&gt;"","تأمين فقط",IF(AD115&lt;&gt;"","اشتراك 300","")))))</f>
        <v/>
      </c>
      <c r="AF115" s="16">
        <f>IF(OR(AE115="لم يدفع",B115=""),"",IF(OR(AE115="تأمين فقط",X115="FCS",X115="RCS"),0,IF(OR(AE115="اشتراك 300",X115="POLICE",X115="OPOW",X115="DJS"),300,IF(H115&lt;14,1300,1500))))</f>
        <v/>
      </c>
      <c r="AG115" s="16">
        <f>IF(OR(AE115="لم يدفع",B115=""),"",500)</f>
        <v/>
      </c>
      <c r="AH115" s="16">
        <f>IF(OR(AE115="لم يدفع",AE115="تأمين فقط",AE115="اشتراك 300",X115="OPOW",X115="DJS",X115="FCS",X115="RCS",X115="POLICE",B115=""),"",1000)</f>
        <v/>
      </c>
      <c r="AI115" s="17">
        <f>IF(AE115="لم يدفع","",IF(AF115="","",AF115+AG115))</f>
        <v/>
      </c>
      <c r="AJ115" s="18">
        <f>IF(B115="","",IF(AE115="لم يدفع","🔒 مجمدة",IF(Z115="","",IF(Z115&lt;TODAY(),"⛔ منتهي - يتطلب تجديد",IF(Z115-5&lt;=TODAY(),"⚠️ قريب الانتهاء","✅ ساري")))))</f>
        <v/>
      </c>
      <c r="AK115" s="13" t="n"/>
      <c r="AL115" s="13" t="n"/>
      <c r="AM115" s="13" t="n"/>
      <c r="AN115" s="13" t="n"/>
      <c r="AO115" s="14">
        <f>IF(B115="","",IF(AK115&lt;&gt;"","الأحد والأربعاء",IF(AL115&lt;&gt;"","الاثنين والخميس",IF(AM115&lt;&gt;"","الثلاثاء والجمعة",IF(AN115&lt;&gt;"","كل الأيام","")))))</f>
        <v/>
      </c>
      <c r="AP115" s="13" t="n"/>
      <c r="AQ115" s="13" t="n"/>
      <c r="AR115" s="13" t="n"/>
      <c r="AS115" s="13" t="n"/>
      <c r="AT115" s="14">
        <f>IF(B115="","",IF(AP115&lt;&gt;"","09:00-10:00",IF(AQ115&lt;&gt;"","10:00-11:00",IF(AR115&lt;&gt;"","19:00-20:00",IF(AS115&lt;&gt;"","20:00-21:00","")))))</f>
        <v/>
      </c>
      <c r="AU115" s="19">
        <f>IF(B115="","",COUNTA(التجديد!E115:E115))</f>
        <v/>
      </c>
    </row>
    <row r="116" ht="22" customHeight="1">
      <c r="A116" s="10">
        <f>IF(B116="","","RCS "&amp;TEXT(ROW()-2,"000"))</f>
        <v/>
      </c>
      <c r="B116" s="11" t="n"/>
      <c r="C116" s="11" t="n"/>
      <c r="D116" s="12" t="n"/>
      <c r="E116" s="13" t="n"/>
      <c r="F116" s="13" t="n"/>
      <c r="G116" s="14">
        <f>IF(B116="","",IF(E116&lt;&gt;"","ذكر",IF(F116&lt;&gt;"","أنثى","")))</f>
        <v/>
      </c>
      <c r="H116" s="14">
        <f>IF(D116="","",DATEDIF(D116,TODAY(),"Y"))</f>
        <v/>
      </c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4">
        <f>IF(B116="","",IF(I116&lt;&gt;"","A+",IF(J116&lt;&gt;"","A-",IF(K116&lt;&gt;"","B+",IF(L116&lt;&gt;"","B-",IF(M116&lt;&gt;"","O+",IF(N116&lt;&gt;"","O-",IF(O116&lt;&gt;"","AB+",IF(P116&lt;&gt;"","AB-",""))))))))</f>
        <v/>
      </c>
      <c r="R116" s="13" t="n"/>
      <c r="S116" s="13" t="n"/>
      <c r="T116" s="13" t="n"/>
      <c r="U116" s="13" t="n"/>
      <c r="V116" s="13" t="n"/>
      <c r="W116" s="13" t="n"/>
      <c r="X116" s="14">
        <f>IF(B116="","",IF(R116&lt;&gt;"","/",IF(S116&lt;&gt;"","OPOW",IF(T116&lt;&gt;"","DJS",IF(U116&lt;&gt;"","FCS",IF(V116&lt;&gt;"","RCS",IF(W116&lt;&gt;"","POLICE","")))))))</f>
        <v/>
      </c>
      <c r="Y116" s="12" t="n"/>
      <c r="Z116" s="15">
        <f>IF(Y116="","",Y116+30)</f>
        <v/>
      </c>
      <c r="AA116" s="13" t="n"/>
      <c r="AB116" s="13" t="n"/>
      <c r="AC116" s="13" t="n"/>
      <c r="AD116" s="13" t="n"/>
      <c r="AE116" s="14">
        <f>IF(B116="","",IF(AA116&lt;&gt;"","مدفوع",IF(AB116&lt;&gt;"","لم يدفع",IF(AC116&lt;&gt;"","تأمين فقط",IF(AD116&lt;&gt;"","اشتراك 300","")))))</f>
        <v/>
      </c>
      <c r="AF116" s="16">
        <f>IF(OR(AE116="لم يدفع",B116=""),"",IF(OR(AE116="تأمين فقط",X116="FCS",X116="RCS"),0,IF(OR(AE116="اشتراك 300",X116="POLICE",X116="OPOW",X116="DJS"),300,IF(H116&lt;14,1300,1500))))</f>
        <v/>
      </c>
      <c r="AG116" s="16">
        <f>IF(OR(AE116="لم يدفع",B116=""),"",500)</f>
        <v/>
      </c>
      <c r="AH116" s="16">
        <f>IF(OR(AE116="لم يدفع",AE116="تأمين فقط",AE116="اشتراك 300",X116="OPOW",X116="DJS",X116="FCS",X116="RCS",X116="POLICE",B116=""),"",1000)</f>
        <v/>
      </c>
      <c r="AI116" s="17">
        <f>IF(AE116="لم يدفع","",IF(AF116="","",AF116+AG116))</f>
        <v/>
      </c>
      <c r="AJ116" s="18">
        <f>IF(B116="","",IF(AE116="لم يدفع","🔒 مجمدة",IF(Z116="","",IF(Z116&lt;TODAY(),"⛔ منتهي - يتطلب تجديد",IF(Z116-5&lt;=TODAY(),"⚠️ قريب الانتهاء","✅ ساري")))))</f>
        <v/>
      </c>
      <c r="AK116" s="13" t="n"/>
      <c r="AL116" s="13" t="n"/>
      <c r="AM116" s="13" t="n"/>
      <c r="AN116" s="13" t="n"/>
      <c r="AO116" s="14">
        <f>IF(B116="","",IF(AK116&lt;&gt;"","الأحد والأربعاء",IF(AL116&lt;&gt;"","الاثنين والخميس",IF(AM116&lt;&gt;"","الثلاثاء والجمعة",IF(AN116&lt;&gt;"","كل الأيام","")))))</f>
        <v/>
      </c>
      <c r="AP116" s="13" t="n"/>
      <c r="AQ116" s="13" t="n"/>
      <c r="AR116" s="13" t="n"/>
      <c r="AS116" s="13" t="n"/>
      <c r="AT116" s="14">
        <f>IF(B116="","",IF(AP116&lt;&gt;"","09:00-10:00",IF(AQ116&lt;&gt;"","10:00-11:00",IF(AR116&lt;&gt;"","19:00-20:00",IF(AS116&lt;&gt;"","20:00-21:00","")))))</f>
        <v/>
      </c>
      <c r="AU116" s="19">
        <f>IF(B116="","",COUNTA(التجديد!E116:E116))</f>
        <v/>
      </c>
    </row>
    <row r="117" ht="22" customHeight="1">
      <c r="A117" s="10">
        <f>IF(B117="","","RCS "&amp;TEXT(ROW()-2,"000"))</f>
        <v/>
      </c>
      <c r="B117" s="11" t="n"/>
      <c r="C117" s="11" t="n"/>
      <c r="D117" s="12" t="n"/>
      <c r="E117" s="13" t="n"/>
      <c r="F117" s="13" t="n"/>
      <c r="G117" s="14">
        <f>IF(B117="","",IF(E117&lt;&gt;"","ذكر",IF(F117&lt;&gt;"","أنثى","")))</f>
        <v/>
      </c>
      <c r="H117" s="14">
        <f>IF(D117="","",DATEDIF(D117,TODAY(),"Y"))</f>
        <v/>
      </c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4">
        <f>IF(B117="","",IF(I117&lt;&gt;"","A+",IF(J117&lt;&gt;"","A-",IF(K117&lt;&gt;"","B+",IF(L117&lt;&gt;"","B-",IF(M117&lt;&gt;"","O+",IF(N117&lt;&gt;"","O-",IF(O117&lt;&gt;"","AB+",IF(P117&lt;&gt;"","AB-",""))))))))</f>
        <v/>
      </c>
      <c r="R117" s="13" t="n"/>
      <c r="S117" s="13" t="n"/>
      <c r="T117" s="13" t="n"/>
      <c r="U117" s="13" t="n"/>
      <c r="V117" s="13" t="n"/>
      <c r="W117" s="13" t="n"/>
      <c r="X117" s="14">
        <f>IF(B117="","",IF(R117&lt;&gt;"","/",IF(S117&lt;&gt;"","OPOW",IF(T117&lt;&gt;"","DJS",IF(U117&lt;&gt;"","FCS",IF(V117&lt;&gt;"","RCS",IF(W117&lt;&gt;"","POLICE","")))))))</f>
        <v/>
      </c>
      <c r="Y117" s="12" t="n"/>
      <c r="Z117" s="15">
        <f>IF(Y117="","",Y117+30)</f>
        <v/>
      </c>
      <c r="AA117" s="13" t="n"/>
      <c r="AB117" s="13" t="n"/>
      <c r="AC117" s="13" t="n"/>
      <c r="AD117" s="13" t="n"/>
      <c r="AE117" s="14">
        <f>IF(B117="","",IF(AA117&lt;&gt;"","مدفوع",IF(AB117&lt;&gt;"","لم يدفع",IF(AC117&lt;&gt;"","تأمين فقط",IF(AD117&lt;&gt;"","اشتراك 300","")))))</f>
        <v/>
      </c>
      <c r="AF117" s="16">
        <f>IF(OR(AE117="لم يدفع",B117=""),"",IF(OR(AE117="تأمين فقط",X117="FCS",X117="RCS"),0,IF(OR(AE117="اشتراك 300",X117="POLICE",X117="OPOW",X117="DJS"),300,IF(H117&lt;14,1300,1500))))</f>
        <v/>
      </c>
      <c r="AG117" s="16">
        <f>IF(OR(AE117="لم يدفع",B117=""),"",500)</f>
        <v/>
      </c>
      <c r="AH117" s="16">
        <f>IF(OR(AE117="لم يدفع",AE117="تأمين فقط",AE117="اشتراك 300",X117="OPOW",X117="DJS",X117="FCS",X117="RCS",X117="POLICE",B117=""),"",1000)</f>
        <v/>
      </c>
      <c r="AI117" s="17">
        <f>IF(AE117="لم يدفع","",IF(AF117="","",AF117+AG117))</f>
        <v/>
      </c>
      <c r="AJ117" s="18">
        <f>IF(B117="","",IF(AE117="لم يدفع","🔒 مجمدة",IF(Z117="","",IF(Z117&lt;TODAY(),"⛔ منتهي - يتطلب تجديد",IF(Z117-5&lt;=TODAY(),"⚠️ قريب الانتهاء","✅ ساري")))))</f>
        <v/>
      </c>
      <c r="AK117" s="13" t="n"/>
      <c r="AL117" s="13" t="n"/>
      <c r="AM117" s="13" t="n"/>
      <c r="AN117" s="13" t="n"/>
      <c r="AO117" s="14">
        <f>IF(B117="","",IF(AK117&lt;&gt;"","الأحد والأربعاء",IF(AL117&lt;&gt;"","الاثنين والخميس",IF(AM117&lt;&gt;"","الثلاثاء والجمعة",IF(AN117&lt;&gt;"","كل الأيام","")))))</f>
        <v/>
      </c>
      <c r="AP117" s="13" t="n"/>
      <c r="AQ117" s="13" t="n"/>
      <c r="AR117" s="13" t="n"/>
      <c r="AS117" s="13" t="n"/>
      <c r="AT117" s="14">
        <f>IF(B117="","",IF(AP117&lt;&gt;"","09:00-10:00",IF(AQ117&lt;&gt;"","10:00-11:00",IF(AR117&lt;&gt;"","19:00-20:00",IF(AS117&lt;&gt;"","20:00-21:00","")))))</f>
        <v/>
      </c>
      <c r="AU117" s="19">
        <f>IF(B117="","",COUNTA(التجديد!E117:E117))</f>
        <v/>
      </c>
    </row>
    <row r="118" ht="22" customHeight="1">
      <c r="A118" s="10">
        <f>IF(B118="","","RCS "&amp;TEXT(ROW()-2,"000"))</f>
        <v/>
      </c>
      <c r="B118" s="11" t="n"/>
      <c r="C118" s="11" t="n"/>
      <c r="D118" s="12" t="n"/>
      <c r="E118" s="13" t="n"/>
      <c r="F118" s="13" t="n"/>
      <c r="G118" s="14">
        <f>IF(B118="","",IF(E118&lt;&gt;"","ذكر",IF(F118&lt;&gt;"","أنثى","")))</f>
        <v/>
      </c>
      <c r="H118" s="14">
        <f>IF(D118="","",DATEDIF(D118,TODAY(),"Y"))</f>
        <v/>
      </c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4">
        <f>IF(B118="","",IF(I118&lt;&gt;"","A+",IF(J118&lt;&gt;"","A-",IF(K118&lt;&gt;"","B+",IF(L118&lt;&gt;"","B-",IF(M118&lt;&gt;"","O+",IF(N118&lt;&gt;"","O-",IF(O118&lt;&gt;"","AB+",IF(P118&lt;&gt;"","AB-",""))))))))</f>
        <v/>
      </c>
      <c r="R118" s="13" t="n"/>
      <c r="S118" s="13" t="n"/>
      <c r="T118" s="13" t="n"/>
      <c r="U118" s="13" t="n"/>
      <c r="V118" s="13" t="n"/>
      <c r="W118" s="13" t="n"/>
      <c r="X118" s="14">
        <f>IF(B118="","",IF(R118&lt;&gt;"","/",IF(S118&lt;&gt;"","OPOW",IF(T118&lt;&gt;"","DJS",IF(U118&lt;&gt;"","FCS",IF(V118&lt;&gt;"","RCS",IF(W118&lt;&gt;"","POLICE","")))))))</f>
        <v/>
      </c>
      <c r="Y118" s="12" t="n"/>
      <c r="Z118" s="15">
        <f>IF(Y118="","",Y118+30)</f>
        <v/>
      </c>
      <c r="AA118" s="13" t="n"/>
      <c r="AB118" s="13" t="n"/>
      <c r="AC118" s="13" t="n"/>
      <c r="AD118" s="13" t="n"/>
      <c r="AE118" s="14">
        <f>IF(B118="","",IF(AA118&lt;&gt;"","مدفوع",IF(AB118&lt;&gt;"","لم يدفع",IF(AC118&lt;&gt;"","تأمين فقط",IF(AD118&lt;&gt;"","اشتراك 300","")))))</f>
        <v/>
      </c>
      <c r="AF118" s="16">
        <f>IF(OR(AE118="لم يدفع",B118=""),"",IF(OR(AE118="تأمين فقط",X118="FCS",X118="RCS"),0,IF(OR(AE118="اشتراك 300",X118="POLICE",X118="OPOW",X118="DJS"),300,IF(H118&lt;14,1300,1500))))</f>
        <v/>
      </c>
      <c r="AG118" s="16">
        <f>IF(OR(AE118="لم يدفع",B118=""),"",500)</f>
        <v/>
      </c>
      <c r="AH118" s="16">
        <f>IF(OR(AE118="لم يدفع",AE118="تأمين فقط",AE118="اشتراك 300",X118="OPOW",X118="DJS",X118="FCS",X118="RCS",X118="POLICE",B118=""),"",1000)</f>
        <v/>
      </c>
      <c r="AI118" s="17">
        <f>IF(AE118="لم يدفع","",IF(AF118="","",AF118+AG118))</f>
        <v/>
      </c>
      <c r="AJ118" s="18">
        <f>IF(B118="","",IF(AE118="لم يدفع","🔒 مجمدة",IF(Z118="","",IF(Z118&lt;TODAY(),"⛔ منتهي - يتطلب تجديد",IF(Z118-5&lt;=TODAY(),"⚠️ قريب الانتهاء","✅ ساري")))))</f>
        <v/>
      </c>
      <c r="AK118" s="13" t="n"/>
      <c r="AL118" s="13" t="n"/>
      <c r="AM118" s="13" t="n"/>
      <c r="AN118" s="13" t="n"/>
      <c r="AO118" s="14">
        <f>IF(B118="","",IF(AK118&lt;&gt;"","الأحد والأربعاء",IF(AL118&lt;&gt;"","الاثنين والخميس",IF(AM118&lt;&gt;"","الثلاثاء والجمعة",IF(AN118&lt;&gt;"","كل الأيام","")))))</f>
        <v/>
      </c>
      <c r="AP118" s="13" t="n"/>
      <c r="AQ118" s="13" t="n"/>
      <c r="AR118" s="13" t="n"/>
      <c r="AS118" s="13" t="n"/>
      <c r="AT118" s="14">
        <f>IF(B118="","",IF(AP118&lt;&gt;"","09:00-10:00",IF(AQ118&lt;&gt;"","10:00-11:00",IF(AR118&lt;&gt;"","19:00-20:00",IF(AS118&lt;&gt;"","20:00-21:00","")))))</f>
        <v/>
      </c>
      <c r="AU118" s="19">
        <f>IF(B118="","",COUNTA(التجديد!E118:E118))</f>
        <v/>
      </c>
    </row>
    <row r="119" ht="22" customHeight="1">
      <c r="A119" s="10">
        <f>IF(B119="","","RCS "&amp;TEXT(ROW()-2,"000"))</f>
        <v/>
      </c>
      <c r="B119" s="11" t="n"/>
      <c r="C119" s="11" t="n"/>
      <c r="D119" s="12" t="n"/>
      <c r="E119" s="13" t="n"/>
      <c r="F119" s="13" t="n"/>
      <c r="G119" s="14">
        <f>IF(B119="","",IF(E119&lt;&gt;"","ذكر",IF(F119&lt;&gt;"","أنثى","")))</f>
        <v/>
      </c>
      <c r="H119" s="14">
        <f>IF(D119="","",DATEDIF(D119,TODAY(),"Y"))</f>
        <v/>
      </c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4">
        <f>IF(B119="","",IF(I119&lt;&gt;"","A+",IF(J119&lt;&gt;"","A-",IF(K119&lt;&gt;"","B+",IF(L119&lt;&gt;"","B-",IF(M119&lt;&gt;"","O+",IF(N119&lt;&gt;"","O-",IF(O119&lt;&gt;"","AB+",IF(P119&lt;&gt;"","AB-",""))))))))</f>
        <v/>
      </c>
      <c r="R119" s="13" t="n"/>
      <c r="S119" s="13" t="n"/>
      <c r="T119" s="13" t="n"/>
      <c r="U119" s="13" t="n"/>
      <c r="V119" s="13" t="n"/>
      <c r="W119" s="13" t="n"/>
      <c r="X119" s="14">
        <f>IF(B119="","",IF(R119&lt;&gt;"","/",IF(S119&lt;&gt;"","OPOW",IF(T119&lt;&gt;"","DJS",IF(U119&lt;&gt;"","FCS",IF(V119&lt;&gt;"","RCS",IF(W119&lt;&gt;"","POLICE","")))))))</f>
        <v/>
      </c>
      <c r="Y119" s="12" t="n"/>
      <c r="Z119" s="15">
        <f>IF(Y119="","",Y119+30)</f>
        <v/>
      </c>
      <c r="AA119" s="13" t="n"/>
      <c r="AB119" s="13" t="n"/>
      <c r="AC119" s="13" t="n"/>
      <c r="AD119" s="13" t="n"/>
      <c r="AE119" s="14">
        <f>IF(B119="","",IF(AA119&lt;&gt;"","مدفوع",IF(AB119&lt;&gt;"","لم يدفع",IF(AC119&lt;&gt;"","تأمين فقط",IF(AD119&lt;&gt;"","اشتراك 300","")))))</f>
        <v/>
      </c>
      <c r="AF119" s="16">
        <f>IF(OR(AE119="لم يدفع",B119=""),"",IF(OR(AE119="تأمين فقط",X119="FCS",X119="RCS"),0,IF(OR(AE119="اشتراك 300",X119="POLICE",X119="OPOW",X119="DJS"),300,IF(H119&lt;14,1300,1500))))</f>
        <v/>
      </c>
      <c r="AG119" s="16">
        <f>IF(OR(AE119="لم يدفع",B119=""),"",500)</f>
        <v/>
      </c>
      <c r="AH119" s="16">
        <f>IF(OR(AE119="لم يدفع",AE119="تأمين فقط",AE119="اشتراك 300",X119="OPOW",X119="DJS",X119="FCS",X119="RCS",X119="POLICE",B119=""),"",1000)</f>
        <v/>
      </c>
      <c r="AI119" s="17">
        <f>IF(AE119="لم يدفع","",IF(AF119="","",AF119+AG119))</f>
        <v/>
      </c>
      <c r="AJ119" s="18">
        <f>IF(B119="","",IF(AE119="لم يدفع","🔒 مجمدة",IF(Z119="","",IF(Z119&lt;TODAY(),"⛔ منتهي - يتطلب تجديد",IF(Z119-5&lt;=TODAY(),"⚠️ قريب الانتهاء","✅ ساري")))))</f>
        <v/>
      </c>
      <c r="AK119" s="13" t="n"/>
      <c r="AL119" s="13" t="n"/>
      <c r="AM119" s="13" t="n"/>
      <c r="AN119" s="13" t="n"/>
      <c r="AO119" s="14">
        <f>IF(B119="","",IF(AK119&lt;&gt;"","الأحد والأربعاء",IF(AL119&lt;&gt;"","الاثنين والخميس",IF(AM119&lt;&gt;"","الثلاثاء والجمعة",IF(AN119&lt;&gt;"","كل الأيام","")))))</f>
        <v/>
      </c>
      <c r="AP119" s="13" t="n"/>
      <c r="AQ119" s="13" t="n"/>
      <c r="AR119" s="13" t="n"/>
      <c r="AS119" s="13" t="n"/>
      <c r="AT119" s="14">
        <f>IF(B119="","",IF(AP119&lt;&gt;"","09:00-10:00",IF(AQ119&lt;&gt;"","10:00-11:00",IF(AR119&lt;&gt;"","19:00-20:00",IF(AS119&lt;&gt;"","20:00-21:00","")))))</f>
        <v/>
      </c>
      <c r="AU119" s="19">
        <f>IF(B119="","",COUNTA(التجديد!E119:E119))</f>
        <v/>
      </c>
    </row>
    <row r="120" ht="22" customHeight="1">
      <c r="A120" s="10">
        <f>IF(B120="","","RCS "&amp;TEXT(ROW()-2,"000"))</f>
        <v/>
      </c>
      <c r="B120" s="11" t="n"/>
      <c r="C120" s="11" t="n"/>
      <c r="D120" s="12" t="n"/>
      <c r="E120" s="13" t="n"/>
      <c r="F120" s="13" t="n"/>
      <c r="G120" s="14">
        <f>IF(B120="","",IF(E120&lt;&gt;"","ذكر",IF(F120&lt;&gt;"","أنثى","")))</f>
        <v/>
      </c>
      <c r="H120" s="14">
        <f>IF(D120="","",DATEDIF(D120,TODAY(),"Y"))</f>
        <v/>
      </c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4">
        <f>IF(B120="","",IF(I120&lt;&gt;"","A+",IF(J120&lt;&gt;"","A-",IF(K120&lt;&gt;"","B+",IF(L120&lt;&gt;"","B-",IF(M120&lt;&gt;"","O+",IF(N120&lt;&gt;"","O-",IF(O120&lt;&gt;"","AB+",IF(P120&lt;&gt;"","AB-",""))))))))</f>
        <v/>
      </c>
      <c r="R120" s="13" t="n"/>
      <c r="S120" s="13" t="n"/>
      <c r="T120" s="13" t="n"/>
      <c r="U120" s="13" t="n"/>
      <c r="V120" s="13" t="n"/>
      <c r="W120" s="13" t="n"/>
      <c r="X120" s="14">
        <f>IF(B120="","",IF(R120&lt;&gt;"","/",IF(S120&lt;&gt;"","OPOW",IF(T120&lt;&gt;"","DJS",IF(U120&lt;&gt;"","FCS",IF(V120&lt;&gt;"","RCS",IF(W120&lt;&gt;"","POLICE","")))))))</f>
        <v/>
      </c>
      <c r="Y120" s="12" t="n"/>
      <c r="Z120" s="15">
        <f>IF(Y120="","",Y120+30)</f>
        <v/>
      </c>
      <c r="AA120" s="13" t="n"/>
      <c r="AB120" s="13" t="n"/>
      <c r="AC120" s="13" t="n"/>
      <c r="AD120" s="13" t="n"/>
      <c r="AE120" s="14">
        <f>IF(B120="","",IF(AA120&lt;&gt;"","مدفوع",IF(AB120&lt;&gt;"","لم يدفع",IF(AC120&lt;&gt;"","تأمين فقط",IF(AD120&lt;&gt;"","اشتراك 300","")))))</f>
        <v/>
      </c>
      <c r="AF120" s="16">
        <f>IF(OR(AE120="لم يدفع",B120=""),"",IF(OR(AE120="تأمين فقط",X120="FCS",X120="RCS"),0,IF(OR(AE120="اشتراك 300",X120="POLICE",X120="OPOW",X120="DJS"),300,IF(H120&lt;14,1300,1500))))</f>
        <v/>
      </c>
      <c r="AG120" s="16">
        <f>IF(OR(AE120="لم يدفع",B120=""),"",500)</f>
        <v/>
      </c>
      <c r="AH120" s="16">
        <f>IF(OR(AE120="لم يدفع",AE120="تأمين فقط",AE120="اشتراك 300",X120="OPOW",X120="DJS",X120="FCS",X120="RCS",X120="POLICE",B120=""),"",1000)</f>
        <v/>
      </c>
      <c r="AI120" s="17">
        <f>IF(AE120="لم يدفع","",IF(AF120="","",AF120+AG120))</f>
        <v/>
      </c>
      <c r="AJ120" s="18">
        <f>IF(B120="","",IF(AE120="لم يدفع","🔒 مجمدة",IF(Z120="","",IF(Z120&lt;TODAY(),"⛔ منتهي - يتطلب تجديد",IF(Z120-5&lt;=TODAY(),"⚠️ قريب الانتهاء","✅ ساري")))))</f>
        <v/>
      </c>
      <c r="AK120" s="13" t="n"/>
      <c r="AL120" s="13" t="n"/>
      <c r="AM120" s="13" t="n"/>
      <c r="AN120" s="13" t="n"/>
      <c r="AO120" s="14">
        <f>IF(B120="","",IF(AK120&lt;&gt;"","الأحد والأربعاء",IF(AL120&lt;&gt;"","الاثنين والخميس",IF(AM120&lt;&gt;"","الثلاثاء والجمعة",IF(AN120&lt;&gt;"","كل الأيام","")))))</f>
        <v/>
      </c>
      <c r="AP120" s="13" t="n"/>
      <c r="AQ120" s="13" t="n"/>
      <c r="AR120" s="13" t="n"/>
      <c r="AS120" s="13" t="n"/>
      <c r="AT120" s="14">
        <f>IF(B120="","",IF(AP120&lt;&gt;"","09:00-10:00",IF(AQ120&lt;&gt;"","10:00-11:00",IF(AR120&lt;&gt;"","19:00-20:00",IF(AS120&lt;&gt;"","20:00-21:00","")))))</f>
        <v/>
      </c>
      <c r="AU120" s="19">
        <f>IF(B120="","",COUNTA(التجديد!E120:E120))</f>
        <v/>
      </c>
    </row>
    <row r="121" ht="22" customHeight="1">
      <c r="A121" s="10">
        <f>IF(B121="","","RCS "&amp;TEXT(ROW()-2,"000"))</f>
        <v/>
      </c>
      <c r="B121" s="11" t="n"/>
      <c r="C121" s="11" t="n"/>
      <c r="D121" s="12" t="n"/>
      <c r="E121" s="13" t="n"/>
      <c r="F121" s="13" t="n"/>
      <c r="G121" s="14">
        <f>IF(B121="","",IF(E121&lt;&gt;"","ذكر",IF(F121&lt;&gt;"","أنثى","")))</f>
        <v/>
      </c>
      <c r="H121" s="14">
        <f>IF(D121="","",DATEDIF(D121,TODAY(),"Y"))</f>
        <v/>
      </c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4">
        <f>IF(B121="","",IF(I121&lt;&gt;"","A+",IF(J121&lt;&gt;"","A-",IF(K121&lt;&gt;"","B+",IF(L121&lt;&gt;"","B-",IF(M121&lt;&gt;"","O+",IF(N121&lt;&gt;"","O-",IF(O121&lt;&gt;"","AB+",IF(P121&lt;&gt;"","AB-",""))))))))</f>
        <v/>
      </c>
      <c r="R121" s="13" t="n"/>
      <c r="S121" s="13" t="n"/>
      <c r="T121" s="13" t="n"/>
      <c r="U121" s="13" t="n"/>
      <c r="V121" s="13" t="n"/>
      <c r="W121" s="13" t="n"/>
      <c r="X121" s="14">
        <f>IF(B121="","",IF(R121&lt;&gt;"","/",IF(S121&lt;&gt;"","OPOW",IF(T121&lt;&gt;"","DJS",IF(U121&lt;&gt;"","FCS",IF(V121&lt;&gt;"","RCS",IF(W121&lt;&gt;"","POLICE","")))))))</f>
        <v/>
      </c>
      <c r="Y121" s="12" t="n"/>
      <c r="Z121" s="15">
        <f>IF(Y121="","",Y121+30)</f>
        <v/>
      </c>
      <c r="AA121" s="13" t="n"/>
      <c r="AB121" s="13" t="n"/>
      <c r="AC121" s="13" t="n"/>
      <c r="AD121" s="13" t="n"/>
      <c r="AE121" s="14">
        <f>IF(B121="","",IF(AA121&lt;&gt;"","مدفوع",IF(AB121&lt;&gt;"","لم يدفع",IF(AC121&lt;&gt;"","تأمين فقط",IF(AD121&lt;&gt;"","اشتراك 300","")))))</f>
        <v/>
      </c>
      <c r="AF121" s="16">
        <f>IF(OR(AE121="لم يدفع",B121=""),"",IF(OR(AE121="تأمين فقط",X121="FCS",X121="RCS"),0,IF(OR(AE121="اشتراك 300",X121="POLICE",X121="OPOW",X121="DJS"),300,IF(H121&lt;14,1300,1500))))</f>
        <v/>
      </c>
      <c r="AG121" s="16">
        <f>IF(OR(AE121="لم يدفع",B121=""),"",500)</f>
        <v/>
      </c>
      <c r="AH121" s="16">
        <f>IF(OR(AE121="لم يدفع",AE121="تأمين فقط",AE121="اشتراك 300",X121="OPOW",X121="DJS",X121="FCS",X121="RCS",X121="POLICE",B121=""),"",1000)</f>
        <v/>
      </c>
      <c r="AI121" s="17">
        <f>IF(AE121="لم يدفع","",IF(AF121="","",AF121+AG121))</f>
        <v/>
      </c>
      <c r="AJ121" s="18">
        <f>IF(B121="","",IF(AE121="لم يدفع","🔒 مجمدة",IF(Z121="","",IF(Z121&lt;TODAY(),"⛔ منتهي - يتطلب تجديد",IF(Z121-5&lt;=TODAY(),"⚠️ قريب الانتهاء","✅ ساري")))))</f>
        <v/>
      </c>
      <c r="AK121" s="13" t="n"/>
      <c r="AL121" s="13" t="n"/>
      <c r="AM121" s="13" t="n"/>
      <c r="AN121" s="13" t="n"/>
      <c r="AO121" s="14">
        <f>IF(B121="","",IF(AK121&lt;&gt;"","الأحد والأربعاء",IF(AL121&lt;&gt;"","الاثنين والخميس",IF(AM121&lt;&gt;"","الثلاثاء والجمعة",IF(AN121&lt;&gt;"","كل الأيام","")))))</f>
        <v/>
      </c>
      <c r="AP121" s="13" t="n"/>
      <c r="AQ121" s="13" t="n"/>
      <c r="AR121" s="13" t="n"/>
      <c r="AS121" s="13" t="n"/>
      <c r="AT121" s="14">
        <f>IF(B121="","",IF(AP121&lt;&gt;"","09:00-10:00",IF(AQ121&lt;&gt;"","10:00-11:00",IF(AR121&lt;&gt;"","19:00-20:00",IF(AS121&lt;&gt;"","20:00-21:00","")))))</f>
        <v/>
      </c>
      <c r="AU121" s="19">
        <f>IF(B121="","",COUNTA(التجديد!E121:E121))</f>
        <v/>
      </c>
    </row>
    <row r="122" ht="22" customHeight="1">
      <c r="A122" s="10">
        <f>IF(B122="","","RCS "&amp;TEXT(ROW()-2,"000"))</f>
        <v/>
      </c>
      <c r="B122" s="11" t="n"/>
      <c r="C122" s="11" t="n"/>
      <c r="D122" s="12" t="n"/>
      <c r="E122" s="13" t="n"/>
      <c r="F122" s="13" t="n"/>
      <c r="G122" s="14">
        <f>IF(B122="","",IF(E122&lt;&gt;"","ذكر",IF(F122&lt;&gt;"","أنثى","")))</f>
        <v/>
      </c>
      <c r="H122" s="14">
        <f>IF(D122="","",DATEDIF(D122,TODAY(),"Y"))</f>
        <v/>
      </c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4">
        <f>IF(B122="","",IF(I122&lt;&gt;"","A+",IF(J122&lt;&gt;"","A-",IF(K122&lt;&gt;"","B+",IF(L122&lt;&gt;"","B-",IF(M122&lt;&gt;"","O+",IF(N122&lt;&gt;"","O-",IF(O122&lt;&gt;"","AB+",IF(P122&lt;&gt;"","AB-",""))))))))</f>
        <v/>
      </c>
      <c r="R122" s="13" t="n"/>
      <c r="S122" s="13" t="n"/>
      <c r="T122" s="13" t="n"/>
      <c r="U122" s="13" t="n"/>
      <c r="V122" s="13" t="n"/>
      <c r="W122" s="13" t="n"/>
      <c r="X122" s="14">
        <f>IF(B122="","",IF(R122&lt;&gt;"","/",IF(S122&lt;&gt;"","OPOW",IF(T122&lt;&gt;"","DJS",IF(U122&lt;&gt;"","FCS",IF(V122&lt;&gt;"","RCS",IF(W122&lt;&gt;"","POLICE","")))))))</f>
        <v/>
      </c>
      <c r="Y122" s="12" t="n"/>
      <c r="Z122" s="15">
        <f>IF(Y122="","",Y122+30)</f>
        <v/>
      </c>
      <c r="AA122" s="13" t="n"/>
      <c r="AB122" s="13" t="n"/>
      <c r="AC122" s="13" t="n"/>
      <c r="AD122" s="13" t="n"/>
      <c r="AE122" s="14">
        <f>IF(B122="","",IF(AA122&lt;&gt;"","مدفوع",IF(AB122&lt;&gt;"","لم يدفع",IF(AC122&lt;&gt;"","تأمين فقط",IF(AD122&lt;&gt;"","اشتراك 300","")))))</f>
        <v/>
      </c>
      <c r="AF122" s="16">
        <f>IF(OR(AE122="لم يدفع",B122=""),"",IF(OR(AE122="تأمين فقط",X122="FCS",X122="RCS"),0,IF(OR(AE122="اشتراك 300",X122="POLICE",X122="OPOW",X122="DJS"),300,IF(H122&lt;14,1300,1500))))</f>
        <v/>
      </c>
      <c r="AG122" s="16">
        <f>IF(OR(AE122="لم يدفع",B122=""),"",500)</f>
        <v/>
      </c>
      <c r="AH122" s="16">
        <f>IF(OR(AE122="لم يدفع",AE122="تأمين فقط",AE122="اشتراك 300",X122="OPOW",X122="DJS",X122="FCS",X122="RCS",X122="POLICE",B122=""),"",1000)</f>
        <v/>
      </c>
      <c r="AI122" s="17">
        <f>IF(AE122="لم يدفع","",IF(AF122="","",AF122+AG122))</f>
        <v/>
      </c>
      <c r="AJ122" s="18">
        <f>IF(B122="","",IF(AE122="لم يدفع","🔒 مجمدة",IF(Z122="","",IF(Z122&lt;TODAY(),"⛔ منتهي - يتطلب تجديد",IF(Z122-5&lt;=TODAY(),"⚠️ قريب الانتهاء","✅ ساري")))))</f>
        <v/>
      </c>
      <c r="AK122" s="13" t="n"/>
      <c r="AL122" s="13" t="n"/>
      <c r="AM122" s="13" t="n"/>
      <c r="AN122" s="13" t="n"/>
      <c r="AO122" s="14">
        <f>IF(B122="","",IF(AK122&lt;&gt;"","الأحد والأربعاء",IF(AL122&lt;&gt;"","الاثنين والخميس",IF(AM122&lt;&gt;"","الثلاثاء والجمعة",IF(AN122&lt;&gt;"","كل الأيام","")))))</f>
        <v/>
      </c>
      <c r="AP122" s="13" t="n"/>
      <c r="AQ122" s="13" t="n"/>
      <c r="AR122" s="13" t="n"/>
      <c r="AS122" s="13" t="n"/>
      <c r="AT122" s="14">
        <f>IF(B122="","",IF(AP122&lt;&gt;"","09:00-10:00",IF(AQ122&lt;&gt;"","10:00-11:00",IF(AR122&lt;&gt;"","19:00-20:00",IF(AS122&lt;&gt;"","20:00-21:00","")))))</f>
        <v/>
      </c>
      <c r="AU122" s="19">
        <f>IF(B122="","",COUNTA(التجديد!E122:E122))</f>
        <v/>
      </c>
    </row>
    <row r="123" ht="22" customHeight="1">
      <c r="A123" s="10">
        <f>IF(B123="","","RCS "&amp;TEXT(ROW()-2,"000"))</f>
        <v/>
      </c>
      <c r="B123" s="11" t="n"/>
      <c r="C123" s="11" t="n"/>
      <c r="D123" s="12" t="n"/>
      <c r="E123" s="13" t="n"/>
      <c r="F123" s="13" t="n"/>
      <c r="G123" s="14">
        <f>IF(B123="","",IF(E123&lt;&gt;"","ذكر",IF(F123&lt;&gt;"","أنثى","")))</f>
        <v/>
      </c>
      <c r="H123" s="14">
        <f>IF(D123="","",DATEDIF(D123,TODAY(),"Y"))</f>
        <v/>
      </c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4">
        <f>IF(B123="","",IF(I123&lt;&gt;"","A+",IF(J123&lt;&gt;"","A-",IF(K123&lt;&gt;"","B+",IF(L123&lt;&gt;"","B-",IF(M123&lt;&gt;"","O+",IF(N123&lt;&gt;"","O-",IF(O123&lt;&gt;"","AB+",IF(P123&lt;&gt;"","AB-",""))))))))</f>
        <v/>
      </c>
      <c r="R123" s="13" t="n"/>
      <c r="S123" s="13" t="n"/>
      <c r="T123" s="13" t="n"/>
      <c r="U123" s="13" t="n"/>
      <c r="V123" s="13" t="n"/>
      <c r="W123" s="13" t="n"/>
      <c r="X123" s="14">
        <f>IF(B123="","",IF(R123&lt;&gt;"","/",IF(S123&lt;&gt;"","OPOW",IF(T123&lt;&gt;"","DJS",IF(U123&lt;&gt;"","FCS",IF(V123&lt;&gt;"","RCS",IF(W123&lt;&gt;"","POLICE","")))))))</f>
        <v/>
      </c>
      <c r="Y123" s="12" t="n"/>
      <c r="Z123" s="15">
        <f>IF(Y123="","",Y123+30)</f>
        <v/>
      </c>
      <c r="AA123" s="13" t="n"/>
      <c r="AB123" s="13" t="n"/>
      <c r="AC123" s="13" t="n"/>
      <c r="AD123" s="13" t="n"/>
      <c r="AE123" s="14">
        <f>IF(B123="","",IF(AA123&lt;&gt;"","مدفوع",IF(AB123&lt;&gt;"","لم يدفع",IF(AC123&lt;&gt;"","تأمين فقط",IF(AD123&lt;&gt;"","اشتراك 300","")))))</f>
        <v/>
      </c>
      <c r="AF123" s="16">
        <f>IF(OR(AE123="لم يدفع",B123=""),"",IF(OR(AE123="تأمين فقط",X123="FCS",X123="RCS"),0,IF(OR(AE123="اشتراك 300",X123="POLICE",X123="OPOW",X123="DJS"),300,IF(H123&lt;14,1300,1500))))</f>
        <v/>
      </c>
      <c r="AG123" s="16">
        <f>IF(OR(AE123="لم يدفع",B123=""),"",500)</f>
        <v/>
      </c>
      <c r="AH123" s="16">
        <f>IF(OR(AE123="لم يدفع",AE123="تأمين فقط",AE123="اشتراك 300",X123="OPOW",X123="DJS",X123="FCS",X123="RCS",X123="POLICE",B123=""),"",1000)</f>
        <v/>
      </c>
      <c r="AI123" s="17">
        <f>IF(AE123="لم يدفع","",IF(AF123="","",AF123+AG123))</f>
        <v/>
      </c>
      <c r="AJ123" s="18">
        <f>IF(B123="","",IF(AE123="لم يدفع","🔒 مجمدة",IF(Z123="","",IF(Z123&lt;TODAY(),"⛔ منتهي - يتطلب تجديد",IF(Z123-5&lt;=TODAY(),"⚠️ قريب الانتهاء","✅ ساري")))))</f>
        <v/>
      </c>
      <c r="AK123" s="13" t="n"/>
      <c r="AL123" s="13" t="n"/>
      <c r="AM123" s="13" t="n"/>
      <c r="AN123" s="13" t="n"/>
      <c r="AO123" s="14">
        <f>IF(B123="","",IF(AK123&lt;&gt;"","الأحد والأربعاء",IF(AL123&lt;&gt;"","الاثنين والخميس",IF(AM123&lt;&gt;"","الثلاثاء والجمعة",IF(AN123&lt;&gt;"","كل الأيام","")))))</f>
        <v/>
      </c>
      <c r="AP123" s="13" t="n"/>
      <c r="AQ123" s="13" t="n"/>
      <c r="AR123" s="13" t="n"/>
      <c r="AS123" s="13" t="n"/>
      <c r="AT123" s="14">
        <f>IF(B123="","",IF(AP123&lt;&gt;"","09:00-10:00",IF(AQ123&lt;&gt;"","10:00-11:00",IF(AR123&lt;&gt;"","19:00-20:00",IF(AS123&lt;&gt;"","20:00-21:00","")))))</f>
        <v/>
      </c>
      <c r="AU123" s="19">
        <f>IF(B123="","",COUNTA(التجديد!E123:E123))</f>
        <v/>
      </c>
    </row>
    <row r="124" ht="22" customHeight="1">
      <c r="A124" s="10">
        <f>IF(B124="","","RCS "&amp;TEXT(ROW()-2,"000"))</f>
        <v/>
      </c>
      <c r="B124" s="11" t="n"/>
      <c r="C124" s="11" t="n"/>
      <c r="D124" s="12" t="n"/>
      <c r="E124" s="13" t="n"/>
      <c r="F124" s="13" t="n"/>
      <c r="G124" s="14">
        <f>IF(B124="","",IF(E124&lt;&gt;"","ذكر",IF(F124&lt;&gt;"","أنثى","")))</f>
        <v/>
      </c>
      <c r="H124" s="14">
        <f>IF(D124="","",DATEDIF(D124,TODAY(),"Y"))</f>
        <v/>
      </c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4">
        <f>IF(B124="","",IF(I124&lt;&gt;"","A+",IF(J124&lt;&gt;"","A-",IF(K124&lt;&gt;"","B+",IF(L124&lt;&gt;"","B-",IF(M124&lt;&gt;"","O+",IF(N124&lt;&gt;"","O-",IF(O124&lt;&gt;"","AB+",IF(P124&lt;&gt;"","AB-",""))))))))</f>
        <v/>
      </c>
      <c r="R124" s="13" t="n"/>
      <c r="S124" s="13" t="n"/>
      <c r="T124" s="13" t="n"/>
      <c r="U124" s="13" t="n"/>
      <c r="V124" s="13" t="n"/>
      <c r="W124" s="13" t="n"/>
      <c r="X124" s="14">
        <f>IF(B124="","",IF(R124&lt;&gt;"","/",IF(S124&lt;&gt;"","OPOW",IF(T124&lt;&gt;"","DJS",IF(U124&lt;&gt;"","FCS",IF(V124&lt;&gt;"","RCS",IF(W124&lt;&gt;"","POLICE","")))))))</f>
        <v/>
      </c>
      <c r="Y124" s="12" t="n"/>
      <c r="Z124" s="15">
        <f>IF(Y124="","",Y124+30)</f>
        <v/>
      </c>
      <c r="AA124" s="13" t="n"/>
      <c r="AB124" s="13" t="n"/>
      <c r="AC124" s="13" t="n"/>
      <c r="AD124" s="13" t="n"/>
      <c r="AE124" s="14">
        <f>IF(B124="","",IF(AA124&lt;&gt;"","مدفوع",IF(AB124&lt;&gt;"","لم يدفع",IF(AC124&lt;&gt;"","تأمين فقط",IF(AD124&lt;&gt;"","اشتراك 300","")))))</f>
        <v/>
      </c>
      <c r="AF124" s="16">
        <f>IF(OR(AE124="لم يدفع",B124=""),"",IF(OR(AE124="تأمين فقط",X124="FCS",X124="RCS"),0,IF(OR(AE124="اشتراك 300",X124="POLICE",X124="OPOW",X124="DJS"),300,IF(H124&lt;14,1300,1500))))</f>
        <v/>
      </c>
      <c r="AG124" s="16">
        <f>IF(OR(AE124="لم يدفع",B124=""),"",500)</f>
        <v/>
      </c>
      <c r="AH124" s="16">
        <f>IF(OR(AE124="لم يدفع",AE124="تأمين فقط",AE124="اشتراك 300",X124="OPOW",X124="DJS",X124="FCS",X124="RCS",X124="POLICE",B124=""),"",1000)</f>
        <v/>
      </c>
      <c r="AI124" s="17">
        <f>IF(AE124="لم يدفع","",IF(AF124="","",AF124+AG124))</f>
        <v/>
      </c>
      <c r="AJ124" s="18">
        <f>IF(B124="","",IF(AE124="لم يدفع","🔒 مجمدة",IF(Z124="","",IF(Z124&lt;TODAY(),"⛔ منتهي - يتطلب تجديد",IF(Z124-5&lt;=TODAY(),"⚠️ قريب الانتهاء","✅ ساري")))))</f>
        <v/>
      </c>
      <c r="AK124" s="13" t="n"/>
      <c r="AL124" s="13" t="n"/>
      <c r="AM124" s="13" t="n"/>
      <c r="AN124" s="13" t="n"/>
      <c r="AO124" s="14">
        <f>IF(B124="","",IF(AK124&lt;&gt;"","الأحد والأربعاء",IF(AL124&lt;&gt;"","الاثنين والخميس",IF(AM124&lt;&gt;"","الثلاثاء والجمعة",IF(AN124&lt;&gt;"","كل الأيام","")))))</f>
        <v/>
      </c>
      <c r="AP124" s="13" t="n"/>
      <c r="AQ124" s="13" t="n"/>
      <c r="AR124" s="13" t="n"/>
      <c r="AS124" s="13" t="n"/>
      <c r="AT124" s="14">
        <f>IF(B124="","",IF(AP124&lt;&gt;"","09:00-10:00",IF(AQ124&lt;&gt;"","10:00-11:00",IF(AR124&lt;&gt;"","19:00-20:00",IF(AS124&lt;&gt;"","20:00-21:00","")))))</f>
        <v/>
      </c>
      <c r="AU124" s="19">
        <f>IF(B124="","",COUNTA(التجديد!E124:E124))</f>
        <v/>
      </c>
    </row>
    <row r="125" ht="22" customHeight="1">
      <c r="A125" s="10">
        <f>IF(B125="","","RCS "&amp;TEXT(ROW()-2,"000"))</f>
        <v/>
      </c>
      <c r="B125" s="11" t="n"/>
      <c r="C125" s="11" t="n"/>
      <c r="D125" s="12" t="n"/>
      <c r="E125" s="13" t="n"/>
      <c r="F125" s="13" t="n"/>
      <c r="G125" s="14">
        <f>IF(B125="","",IF(E125&lt;&gt;"","ذكر",IF(F125&lt;&gt;"","أنثى","")))</f>
        <v/>
      </c>
      <c r="H125" s="14">
        <f>IF(D125="","",DATEDIF(D125,TODAY(),"Y"))</f>
        <v/>
      </c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4">
        <f>IF(B125="","",IF(I125&lt;&gt;"","A+",IF(J125&lt;&gt;"","A-",IF(K125&lt;&gt;"","B+",IF(L125&lt;&gt;"","B-",IF(M125&lt;&gt;"","O+",IF(N125&lt;&gt;"","O-",IF(O125&lt;&gt;"","AB+",IF(P125&lt;&gt;"","AB-",""))))))))</f>
        <v/>
      </c>
      <c r="R125" s="13" t="n"/>
      <c r="S125" s="13" t="n"/>
      <c r="T125" s="13" t="n"/>
      <c r="U125" s="13" t="n"/>
      <c r="V125" s="13" t="n"/>
      <c r="W125" s="13" t="n"/>
      <c r="X125" s="14">
        <f>IF(B125="","",IF(R125&lt;&gt;"","/",IF(S125&lt;&gt;"","OPOW",IF(T125&lt;&gt;"","DJS",IF(U125&lt;&gt;"","FCS",IF(V125&lt;&gt;"","RCS",IF(W125&lt;&gt;"","POLICE","")))))))</f>
        <v/>
      </c>
      <c r="Y125" s="12" t="n"/>
      <c r="Z125" s="15">
        <f>IF(Y125="","",Y125+30)</f>
        <v/>
      </c>
      <c r="AA125" s="13" t="n"/>
      <c r="AB125" s="13" t="n"/>
      <c r="AC125" s="13" t="n"/>
      <c r="AD125" s="13" t="n"/>
      <c r="AE125" s="14">
        <f>IF(B125="","",IF(AA125&lt;&gt;"","مدفوع",IF(AB125&lt;&gt;"","لم يدفع",IF(AC125&lt;&gt;"","تأمين فقط",IF(AD125&lt;&gt;"","اشتراك 300","")))))</f>
        <v/>
      </c>
      <c r="AF125" s="16">
        <f>IF(OR(AE125="لم يدفع",B125=""),"",IF(OR(AE125="تأمين فقط",X125="FCS",X125="RCS"),0,IF(OR(AE125="اشتراك 300",X125="POLICE",X125="OPOW",X125="DJS"),300,IF(H125&lt;14,1300,1500))))</f>
        <v/>
      </c>
      <c r="AG125" s="16">
        <f>IF(OR(AE125="لم يدفع",B125=""),"",500)</f>
        <v/>
      </c>
      <c r="AH125" s="16">
        <f>IF(OR(AE125="لم يدفع",AE125="تأمين فقط",AE125="اشتراك 300",X125="OPOW",X125="DJS",X125="FCS",X125="RCS",X125="POLICE",B125=""),"",1000)</f>
        <v/>
      </c>
      <c r="AI125" s="17">
        <f>IF(AE125="لم يدفع","",IF(AF125="","",AF125+AG125))</f>
        <v/>
      </c>
      <c r="AJ125" s="18">
        <f>IF(B125="","",IF(AE125="لم يدفع","🔒 مجمدة",IF(Z125="","",IF(Z125&lt;TODAY(),"⛔ منتهي - يتطلب تجديد",IF(Z125-5&lt;=TODAY(),"⚠️ قريب الانتهاء","✅ ساري")))))</f>
        <v/>
      </c>
      <c r="AK125" s="13" t="n"/>
      <c r="AL125" s="13" t="n"/>
      <c r="AM125" s="13" t="n"/>
      <c r="AN125" s="13" t="n"/>
      <c r="AO125" s="14">
        <f>IF(B125="","",IF(AK125&lt;&gt;"","الأحد والأربعاء",IF(AL125&lt;&gt;"","الاثنين والخميس",IF(AM125&lt;&gt;"","الثلاثاء والجمعة",IF(AN125&lt;&gt;"","كل الأيام","")))))</f>
        <v/>
      </c>
      <c r="AP125" s="13" t="n"/>
      <c r="AQ125" s="13" t="n"/>
      <c r="AR125" s="13" t="n"/>
      <c r="AS125" s="13" t="n"/>
      <c r="AT125" s="14">
        <f>IF(B125="","",IF(AP125&lt;&gt;"","09:00-10:00",IF(AQ125&lt;&gt;"","10:00-11:00",IF(AR125&lt;&gt;"","19:00-20:00",IF(AS125&lt;&gt;"","20:00-21:00","")))))</f>
        <v/>
      </c>
      <c r="AU125" s="19">
        <f>IF(B125="","",COUNTA(التجديد!E125:E125))</f>
        <v/>
      </c>
    </row>
    <row r="126" ht="22" customHeight="1">
      <c r="A126" s="10">
        <f>IF(B126="","","RCS "&amp;TEXT(ROW()-2,"000"))</f>
        <v/>
      </c>
      <c r="B126" s="11" t="n"/>
      <c r="C126" s="11" t="n"/>
      <c r="D126" s="12" t="n"/>
      <c r="E126" s="13" t="n"/>
      <c r="F126" s="13" t="n"/>
      <c r="G126" s="14">
        <f>IF(B126="","",IF(E126&lt;&gt;"","ذكر",IF(F126&lt;&gt;"","أنثى","")))</f>
        <v/>
      </c>
      <c r="H126" s="14">
        <f>IF(D126="","",DATEDIF(D126,TODAY(),"Y"))</f>
        <v/>
      </c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4">
        <f>IF(B126="","",IF(I126&lt;&gt;"","A+",IF(J126&lt;&gt;"","A-",IF(K126&lt;&gt;"","B+",IF(L126&lt;&gt;"","B-",IF(M126&lt;&gt;"","O+",IF(N126&lt;&gt;"","O-",IF(O126&lt;&gt;"","AB+",IF(P126&lt;&gt;"","AB-",""))))))))</f>
        <v/>
      </c>
      <c r="R126" s="13" t="n"/>
      <c r="S126" s="13" t="n"/>
      <c r="T126" s="13" t="n"/>
      <c r="U126" s="13" t="n"/>
      <c r="V126" s="13" t="n"/>
      <c r="W126" s="13" t="n"/>
      <c r="X126" s="14">
        <f>IF(B126="","",IF(R126&lt;&gt;"","/",IF(S126&lt;&gt;"","OPOW",IF(T126&lt;&gt;"","DJS",IF(U126&lt;&gt;"","FCS",IF(V126&lt;&gt;"","RCS",IF(W126&lt;&gt;"","POLICE","")))))))</f>
        <v/>
      </c>
      <c r="Y126" s="12" t="n"/>
      <c r="Z126" s="15">
        <f>IF(Y126="","",Y126+30)</f>
        <v/>
      </c>
      <c r="AA126" s="13" t="n"/>
      <c r="AB126" s="13" t="n"/>
      <c r="AC126" s="13" t="n"/>
      <c r="AD126" s="13" t="n"/>
      <c r="AE126" s="14">
        <f>IF(B126="","",IF(AA126&lt;&gt;"","مدفوع",IF(AB126&lt;&gt;"","لم يدفع",IF(AC126&lt;&gt;"","تأمين فقط",IF(AD126&lt;&gt;"","اشتراك 300","")))))</f>
        <v/>
      </c>
      <c r="AF126" s="16">
        <f>IF(OR(AE126="لم يدفع",B126=""),"",IF(OR(AE126="تأمين فقط",X126="FCS",X126="RCS"),0,IF(OR(AE126="اشتراك 300",X126="POLICE",X126="OPOW",X126="DJS"),300,IF(H126&lt;14,1300,1500))))</f>
        <v/>
      </c>
      <c r="AG126" s="16">
        <f>IF(OR(AE126="لم يدفع",B126=""),"",500)</f>
        <v/>
      </c>
      <c r="AH126" s="16">
        <f>IF(OR(AE126="لم يدفع",AE126="تأمين فقط",AE126="اشتراك 300",X126="OPOW",X126="DJS",X126="FCS",X126="RCS",X126="POLICE",B126=""),"",1000)</f>
        <v/>
      </c>
      <c r="AI126" s="17">
        <f>IF(AE126="لم يدفع","",IF(AF126="","",AF126+AG126))</f>
        <v/>
      </c>
      <c r="AJ126" s="18">
        <f>IF(B126="","",IF(AE126="لم يدفع","🔒 مجمدة",IF(Z126="","",IF(Z126&lt;TODAY(),"⛔ منتهي - يتطلب تجديد",IF(Z126-5&lt;=TODAY(),"⚠️ قريب الانتهاء","✅ ساري")))))</f>
        <v/>
      </c>
      <c r="AK126" s="13" t="n"/>
      <c r="AL126" s="13" t="n"/>
      <c r="AM126" s="13" t="n"/>
      <c r="AN126" s="13" t="n"/>
      <c r="AO126" s="14">
        <f>IF(B126="","",IF(AK126&lt;&gt;"","الأحد والأربعاء",IF(AL126&lt;&gt;"","الاثنين والخميس",IF(AM126&lt;&gt;"","الثلاثاء والجمعة",IF(AN126&lt;&gt;"","كل الأيام","")))))</f>
        <v/>
      </c>
      <c r="AP126" s="13" t="n"/>
      <c r="AQ126" s="13" t="n"/>
      <c r="AR126" s="13" t="n"/>
      <c r="AS126" s="13" t="n"/>
      <c r="AT126" s="14">
        <f>IF(B126="","",IF(AP126&lt;&gt;"","09:00-10:00",IF(AQ126&lt;&gt;"","10:00-11:00",IF(AR126&lt;&gt;"","19:00-20:00",IF(AS126&lt;&gt;"","20:00-21:00","")))))</f>
        <v/>
      </c>
      <c r="AU126" s="19">
        <f>IF(B126="","",COUNTA(التجديد!E126:E126))</f>
        <v/>
      </c>
    </row>
    <row r="127" ht="22" customHeight="1">
      <c r="A127" s="10">
        <f>IF(B127="","","RCS "&amp;TEXT(ROW()-2,"000"))</f>
        <v/>
      </c>
      <c r="B127" s="11" t="n"/>
      <c r="C127" s="11" t="n"/>
      <c r="D127" s="12" t="n"/>
      <c r="E127" s="13" t="n"/>
      <c r="F127" s="13" t="n"/>
      <c r="G127" s="14">
        <f>IF(B127="","",IF(E127&lt;&gt;"","ذكر",IF(F127&lt;&gt;"","أنثى","")))</f>
        <v/>
      </c>
      <c r="H127" s="14">
        <f>IF(D127="","",DATEDIF(D127,TODAY(),"Y"))</f>
        <v/>
      </c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4">
        <f>IF(B127="","",IF(I127&lt;&gt;"","A+",IF(J127&lt;&gt;"","A-",IF(K127&lt;&gt;"","B+",IF(L127&lt;&gt;"","B-",IF(M127&lt;&gt;"","O+",IF(N127&lt;&gt;"","O-",IF(O127&lt;&gt;"","AB+",IF(P127&lt;&gt;"","AB-",""))))))))</f>
        <v/>
      </c>
      <c r="R127" s="13" t="n"/>
      <c r="S127" s="13" t="n"/>
      <c r="T127" s="13" t="n"/>
      <c r="U127" s="13" t="n"/>
      <c r="V127" s="13" t="n"/>
      <c r="W127" s="13" t="n"/>
      <c r="X127" s="14">
        <f>IF(B127="","",IF(R127&lt;&gt;"","/",IF(S127&lt;&gt;"","OPOW",IF(T127&lt;&gt;"","DJS",IF(U127&lt;&gt;"","FCS",IF(V127&lt;&gt;"","RCS",IF(W127&lt;&gt;"","POLICE","")))))))</f>
        <v/>
      </c>
      <c r="Y127" s="12" t="n"/>
      <c r="Z127" s="15">
        <f>IF(Y127="","",Y127+30)</f>
        <v/>
      </c>
      <c r="AA127" s="13" t="n"/>
      <c r="AB127" s="13" t="n"/>
      <c r="AC127" s="13" t="n"/>
      <c r="AD127" s="13" t="n"/>
      <c r="AE127" s="14">
        <f>IF(B127="","",IF(AA127&lt;&gt;"","مدفوع",IF(AB127&lt;&gt;"","لم يدفع",IF(AC127&lt;&gt;"","تأمين فقط",IF(AD127&lt;&gt;"","اشتراك 300","")))))</f>
        <v/>
      </c>
      <c r="AF127" s="16">
        <f>IF(OR(AE127="لم يدفع",B127=""),"",IF(OR(AE127="تأمين فقط",X127="FCS",X127="RCS"),0,IF(OR(AE127="اشتراك 300",X127="POLICE",X127="OPOW",X127="DJS"),300,IF(H127&lt;14,1300,1500))))</f>
        <v/>
      </c>
      <c r="AG127" s="16">
        <f>IF(OR(AE127="لم يدفع",B127=""),"",500)</f>
        <v/>
      </c>
      <c r="AH127" s="16">
        <f>IF(OR(AE127="لم يدفع",AE127="تأمين فقط",AE127="اشتراك 300",X127="OPOW",X127="DJS",X127="FCS",X127="RCS",X127="POLICE",B127=""),"",1000)</f>
        <v/>
      </c>
      <c r="AI127" s="17">
        <f>IF(AE127="لم يدفع","",IF(AF127="","",AF127+AG127))</f>
        <v/>
      </c>
      <c r="AJ127" s="18">
        <f>IF(B127="","",IF(AE127="لم يدفع","🔒 مجمدة",IF(Z127="","",IF(Z127&lt;TODAY(),"⛔ منتهي - يتطلب تجديد",IF(Z127-5&lt;=TODAY(),"⚠️ قريب الانتهاء","✅ ساري")))))</f>
        <v/>
      </c>
      <c r="AK127" s="13" t="n"/>
      <c r="AL127" s="13" t="n"/>
      <c r="AM127" s="13" t="n"/>
      <c r="AN127" s="13" t="n"/>
      <c r="AO127" s="14">
        <f>IF(B127="","",IF(AK127&lt;&gt;"","الأحد والأربعاء",IF(AL127&lt;&gt;"","الاثنين والخميس",IF(AM127&lt;&gt;"","الثلاثاء والجمعة",IF(AN127&lt;&gt;"","كل الأيام","")))))</f>
        <v/>
      </c>
      <c r="AP127" s="13" t="n"/>
      <c r="AQ127" s="13" t="n"/>
      <c r="AR127" s="13" t="n"/>
      <c r="AS127" s="13" t="n"/>
      <c r="AT127" s="14">
        <f>IF(B127="","",IF(AP127&lt;&gt;"","09:00-10:00",IF(AQ127&lt;&gt;"","10:00-11:00",IF(AR127&lt;&gt;"","19:00-20:00",IF(AS127&lt;&gt;"","20:00-21:00","")))))</f>
        <v/>
      </c>
      <c r="AU127" s="19">
        <f>IF(B127="","",COUNTA(التجديد!E127:E127))</f>
        <v/>
      </c>
    </row>
    <row r="128" ht="22" customHeight="1">
      <c r="A128" s="10">
        <f>IF(B128="","","RCS "&amp;TEXT(ROW()-2,"000"))</f>
        <v/>
      </c>
      <c r="B128" s="11" t="n"/>
      <c r="C128" s="11" t="n"/>
      <c r="D128" s="12" t="n"/>
      <c r="E128" s="13" t="n"/>
      <c r="F128" s="13" t="n"/>
      <c r="G128" s="14">
        <f>IF(B128="","",IF(E128&lt;&gt;"","ذكر",IF(F128&lt;&gt;"","أنثى","")))</f>
        <v/>
      </c>
      <c r="H128" s="14">
        <f>IF(D128="","",DATEDIF(D128,TODAY(),"Y"))</f>
        <v/>
      </c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4">
        <f>IF(B128="","",IF(I128&lt;&gt;"","A+",IF(J128&lt;&gt;"","A-",IF(K128&lt;&gt;"","B+",IF(L128&lt;&gt;"","B-",IF(M128&lt;&gt;"","O+",IF(N128&lt;&gt;"","O-",IF(O128&lt;&gt;"","AB+",IF(P128&lt;&gt;"","AB-",""))))))))</f>
        <v/>
      </c>
      <c r="R128" s="13" t="n"/>
      <c r="S128" s="13" t="n"/>
      <c r="T128" s="13" t="n"/>
      <c r="U128" s="13" t="n"/>
      <c r="V128" s="13" t="n"/>
      <c r="W128" s="13" t="n"/>
      <c r="X128" s="14">
        <f>IF(B128="","",IF(R128&lt;&gt;"","/",IF(S128&lt;&gt;"","OPOW",IF(T128&lt;&gt;"","DJS",IF(U128&lt;&gt;"","FCS",IF(V128&lt;&gt;"","RCS",IF(W128&lt;&gt;"","POLICE","")))))))</f>
        <v/>
      </c>
      <c r="Y128" s="12" t="n"/>
      <c r="Z128" s="15">
        <f>IF(Y128="","",Y128+30)</f>
        <v/>
      </c>
      <c r="AA128" s="13" t="n"/>
      <c r="AB128" s="13" t="n"/>
      <c r="AC128" s="13" t="n"/>
      <c r="AD128" s="13" t="n"/>
      <c r="AE128" s="14">
        <f>IF(B128="","",IF(AA128&lt;&gt;"","مدفوع",IF(AB128&lt;&gt;"","لم يدفع",IF(AC128&lt;&gt;"","تأمين فقط",IF(AD128&lt;&gt;"","اشتراك 300","")))))</f>
        <v/>
      </c>
      <c r="AF128" s="16">
        <f>IF(OR(AE128="لم يدفع",B128=""),"",IF(OR(AE128="تأمين فقط",X128="FCS",X128="RCS"),0,IF(OR(AE128="اشتراك 300",X128="POLICE",X128="OPOW",X128="DJS"),300,IF(H128&lt;14,1300,1500))))</f>
        <v/>
      </c>
      <c r="AG128" s="16">
        <f>IF(OR(AE128="لم يدفع",B128=""),"",500)</f>
        <v/>
      </c>
      <c r="AH128" s="16">
        <f>IF(OR(AE128="لم يدفع",AE128="تأمين فقط",AE128="اشتراك 300",X128="OPOW",X128="DJS",X128="FCS",X128="RCS",X128="POLICE",B128=""),"",1000)</f>
        <v/>
      </c>
      <c r="AI128" s="17">
        <f>IF(AE128="لم يدفع","",IF(AF128="","",AF128+AG128))</f>
        <v/>
      </c>
      <c r="AJ128" s="18">
        <f>IF(B128="","",IF(AE128="لم يدفع","🔒 مجمدة",IF(Z128="","",IF(Z128&lt;TODAY(),"⛔ منتهي - يتطلب تجديد",IF(Z128-5&lt;=TODAY(),"⚠️ قريب الانتهاء","✅ ساري")))))</f>
        <v/>
      </c>
      <c r="AK128" s="13" t="n"/>
      <c r="AL128" s="13" t="n"/>
      <c r="AM128" s="13" t="n"/>
      <c r="AN128" s="13" t="n"/>
      <c r="AO128" s="14">
        <f>IF(B128="","",IF(AK128&lt;&gt;"","الأحد والأربعاء",IF(AL128&lt;&gt;"","الاثنين والخميس",IF(AM128&lt;&gt;"","الثلاثاء والجمعة",IF(AN128&lt;&gt;"","كل الأيام","")))))</f>
        <v/>
      </c>
      <c r="AP128" s="13" t="n"/>
      <c r="AQ128" s="13" t="n"/>
      <c r="AR128" s="13" t="n"/>
      <c r="AS128" s="13" t="n"/>
      <c r="AT128" s="14">
        <f>IF(B128="","",IF(AP128&lt;&gt;"","09:00-10:00",IF(AQ128&lt;&gt;"","10:00-11:00",IF(AR128&lt;&gt;"","19:00-20:00",IF(AS128&lt;&gt;"","20:00-21:00","")))))</f>
        <v/>
      </c>
      <c r="AU128" s="19">
        <f>IF(B128="","",COUNTA(التجديد!E128:E128))</f>
        <v/>
      </c>
    </row>
    <row r="129" ht="22" customHeight="1">
      <c r="A129" s="10">
        <f>IF(B129="","","RCS "&amp;TEXT(ROW()-2,"000"))</f>
        <v/>
      </c>
      <c r="B129" s="11" t="n"/>
      <c r="C129" s="11" t="n"/>
      <c r="D129" s="12" t="n"/>
      <c r="E129" s="13" t="n"/>
      <c r="F129" s="13" t="n"/>
      <c r="G129" s="14">
        <f>IF(B129="","",IF(E129&lt;&gt;"","ذكر",IF(F129&lt;&gt;"","أنثى","")))</f>
        <v/>
      </c>
      <c r="H129" s="14">
        <f>IF(D129="","",DATEDIF(D129,TODAY(),"Y"))</f>
        <v/>
      </c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4">
        <f>IF(B129="","",IF(I129&lt;&gt;"","A+",IF(J129&lt;&gt;"","A-",IF(K129&lt;&gt;"","B+",IF(L129&lt;&gt;"","B-",IF(M129&lt;&gt;"","O+",IF(N129&lt;&gt;"","O-",IF(O129&lt;&gt;"","AB+",IF(P129&lt;&gt;"","AB-",""))))))))</f>
        <v/>
      </c>
      <c r="R129" s="13" t="n"/>
      <c r="S129" s="13" t="n"/>
      <c r="T129" s="13" t="n"/>
      <c r="U129" s="13" t="n"/>
      <c r="V129" s="13" t="n"/>
      <c r="W129" s="13" t="n"/>
      <c r="X129" s="14">
        <f>IF(B129="","",IF(R129&lt;&gt;"","/",IF(S129&lt;&gt;"","OPOW",IF(T129&lt;&gt;"","DJS",IF(U129&lt;&gt;"","FCS",IF(V129&lt;&gt;"","RCS",IF(W129&lt;&gt;"","POLICE","")))))))</f>
        <v/>
      </c>
      <c r="Y129" s="12" t="n"/>
      <c r="Z129" s="15">
        <f>IF(Y129="","",Y129+30)</f>
        <v/>
      </c>
      <c r="AA129" s="13" t="n"/>
      <c r="AB129" s="13" t="n"/>
      <c r="AC129" s="13" t="n"/>
      <c r="AD129" s="13" t="n"/>
      <c r="AE129" s="14">
        <f>IF(B129="","",IF(AA129&lt;&gt;"","مدفوع",IF(AB129&lt;&gt;"","لم يدفع",IF(AC129&lt;&gt;"","تأمين فقط",IF(AD129&lt;&gt;"","اشتراك 300","")))))</f>
        <v/>
      </c>
      <c r="AF129" s="16">
        <f>IF(OR(AE129="لم يدفع",B129=""),"",IF(OR(AE129="تأمين فقط",X129="FCS",X129="RCS"),0,IF(OR(AE129="اشتراك 300",X129="POLICE",X129="OPOW",X129="DJS"),300,IF(H129&lt;14,1300,1500))))</f>
        <v/>
      </c>
      <c r="AG129" s="16">
        <f>IF(OR(AE129="لم يدفع",B129=""),"",500)</f>
        <v/>
      </c>
      <c r="AH129" s="16">
        <f>IF(OR(AE129="لم يدفع",AE129="تأمين فقط",AE129="اشتراك 300",X129="OPOW",X129="DJS",X129="FCS",X129="RCS",X129="POLICE",B129=""),"",1000)</f>
        <v/>
      </c>
      <c r="AI129" s="17">
        <f>IF(AE129="لم يدفع","",IF(AF129="","",AF129+AG129))</f>
        <v/>
      </c>
      <c r="AJ129" s="18">
        <f>IF(B129="","",IF(AE129="لم يدفع","🔒 مجمدة",IF(Z129="","",IF(Z129&lt;TODAY(),"⛔ منتهي - يتطلب تجديد",IF(Z129-5&lt;=TODAY(),"⚠️ قريب الانتهاء","✅ ساري")))))</f>
        <v/>
      </c>
      <c r="AK129" s="13" t="n"/>
      <c r="AL129" s="13" t="n"/>
      <c r="AM129" s="13" t="n"/>
      <c r="AN129" s="13" t="n"/>
      <c r="AO129" s="14">
        <f>IF(B129="","",IF(AK129&lt;&gt;"","الأحد والأربعاء",IF(AL129&lt;&gt;"","الاثنين والخميس",IF(AM129&lt;&gt;"","الثلاثاء والجمعة",IF(AN129&lt;&gt;"","كل الأيام","")))))</f>
        <v/>
      </c>
      <c r="AP129" s="13" t="n"/>
      <c r="AQ129" s="13" t="n"/>
      <c r="AR129" s="13" t="n"/>
      <c r="AS129" s="13" t="n"/>
      <c r="AT129" s="14">
        <f>IF(B129="","",IF(AP129&lt;&gt;"","09:00-10:00",IF(AQ129&lt;&gt;"","10:00-11:00",IF(AR129&lt;&gt;"","19:00-20:00",IF(AS129&lt;&gt;"","20:00-21:00","")))))</f>
        <v/>
      </c>
      <c r="AU129" s="19">
        <f>IF(B129="","",COUNTA(التجديد!E129:E129))</f>
        <v/>
      </c>
    </row>
    <row r="130" ht="22" customHeight="1">
      <c r="A130" s="10">
        <f>IF(B130="","","RCS "&amp;TEXT(ROW()-2,"000"))</f>
        <v/>
      </c>
      <c r="B130" s="11" t="n"/>
      <c r="C130" s="11" t="n"/>
      <c r="D130" s="12" t="n"/>
      <c r="E130" s="13" t="n"/>
      <c r="F130" s="13" t="n"/>
      <c r="G130" s="14">
        <f>IF(B130="","",IF(E130&lt;&gt;"","ذكر",IF(F130&lt;&gt;"","أنثى","")))</f>
        <v/>
      </c>
      <c r="H130" s="14">
        <f>IF(D130="","",DATEDIF(D130,TODAY(),"Y"))</f>
        <v/>
      </c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4">
        <f>IF(B130="","",IF(I130&lt;&gt;"","A+",IF(J130&lt;&gt;"","A-",IF(K130&lt;&gt;"","B+",IF(L130&lt;&gt;"","B-",IF(M130&lt;&gt;"","O+",IF(N130&lt;&gt;"","O-",IF(O130&lt;&gt;"","AB+",IF(P130&lt;&gt;"","AB-",""))))))))</f>
        <v/>
      </c>
      <c r="R130" s="13" t="n"/>
      <c r="S130" s="13" t="n"/>
      <c r="T130" s="13" t="n"/>
      <c r="U130" s="13" t="n"/>
      <c r="V130" s="13" t="n"/>
      <c r="W130" s="13" t="n"/>
      <c r="X130" s="14">
        <f>IF(B130="","",IF(R130&lt;&gt;"","/",IF(S130&lt;&gt;"","OPOW",IF(T130&lt;&gt;"","DJS",IF(U130&lt;&gt;"","FCS",IF(V130&lt;&gt;"","RCS",IF(W130&lt;&gt;"","POLICE","")))))))</f>
        <v/>
      </c>
      <c r="Y130" s="12" t="n"/>
      <c r="Z130" s="15">
        <f>IF(Y130="","",Y130+30)</f>
        <v/>
      </c>
      <c r="AA130" s="13" t="n"/>
      <c r="AB130" s="13" t="n"/>
      <c r="AC130" s="13" t="n"/>
      <c r="AD130" s="13" t="n"/>
      <c r="AE130" s="14">
        <f>IF(B130="","",IF(AA130&lt;&gt;"","مدفوع",IF(AB130&lt;&gt;"","لم يدفع",IF(AC130&lt;&gt;"","تأمين فقط",IF(AD130&lt;&gt;"","اشتراك 300","")))))</f>
        <v/>
      </c>
      <c r="AF130" s="16">
        <f>IF(OR(AE130="لم يدفع",B130=""),"",IF(OR(AE130="تأمين فقط",X130="FCS",X130="RCS"),0,IF(OR(AE130="اشتراك 300",X130="POLICE",X130="OPOW",X130="DJS"),300,IF(H130&lt;14,1300,1500))))</f>
        <v/>
      </c>
      <c r="AG130" s="16">
        <f>IF(OR(AE130="لم يدفع",B130=""),"",500)</f>
        <v/>
      </c>
      <c r="AH130" s="16">
        <f>IF(OR(AE130="لم يدفع",AE130="تأمين فقط",AE130="اشتراك 300",X130="OPOW",X130="DJS",X130="FCS",X130="RCS",X130="POLICE",B130=""),"",1000)</f>
        <v/>
      </c>
      <c r="AI130" s="17">
        <f>IF(AE130="لم يدفع","",IF(AF130="","",AF130+AG130))</f>
        <v/>
      </c>
      <c r="AJ130" s="18">
        <f>IF(B130="","",IF(AE130="لم يدفع","🔒 مجمدة",IF(Z130="","",IF(Z130&lt;TODAY(),"⛔ منتهي - يتطلب تجديد",IF(Z130-5&lt;=TODAY(),"⚠️ قريب الانتهاء","✅ ساري")))))</f>
        <v/>
      </c>
      <c r="AK130" s="13" t="n"/>
      <c r="AL130" s="13" t="n"/>
      <c r="AM130" s="13" t="n"/>
      <c r="AN130" s="13" t="n"/>
      <c r="AO130" s="14">
        <f>IF(B130="","",IF(AK130&lt;&gt;"","الأحد والأربعاء",IF(AL130&lt;&gt;"","الاثنين والخميس",IF(AM130&lt;&gt;"","الثلاثاء والجمعة",IF(AN130&lt;&gt;"","كل الأيام","")))))</f>
        <v/>
      </c>
      <c r="AP130" s="13" t="n"/>
      <c r="AQ130" s="13" t="n"/>
      <c r="AR130" s="13" t="n"/>
      <c r="AS130" s="13" t="n"/>
      <c r="AT130" s="14">
        <f>IF(B130="","",IF(AP130&lt;&gt;"","09:00-10:00",IF(AQ130&lt;&gt;"","10:00-11:00",IF(AR130&lt;&gt;"","19:00-20:00",IF(AS130&lt;&gt;"","20:00-21:00","")))))</f>
        <v/>
      </c>
      <c r="AU130" s="19">
        <f>IF(B130="","",COUNTA(التجديد!E130:E130))</f>
        <v/>
      </c>
    </row>
    <row r="131" ht="22" customHeight="1">
      <c r="A131" s="10">
        <f>IF(B131="","","RCS "&amp;TEXT(ROW()-2,"000"))</f>
        <v/>
      </c>
      <c r="B131" s="11" t="n"/>
      <c r="C131" s="11" t="n"/>
      <c r="D131" s="12" t="n"/>
      <c r="E131" s="13" t="n"/>
      <c r="F131" s="13" t="n"/>
      <c r="G131" s="14">
        <f>IF(B131="","",IF(E131&lt;&gt;"","ذكر",IF(F131&lt;&gt;"","أنثى","")))</f>
        <v/>
      </c>
      <c r="H131" s="14">
        <f>IF(D131="","",DATEDIF(D131,TODAY(),"Y"))</f>
        <v/>
      </c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4">
        <f>IF(B131="","",IF(I131&lt;&gt;"","A+",IF(J131&lt;&gt;"","A-",IF(K131&lt;&gt;"","B+",IF(L131&lt;&gt;"","B-",IF(M131&lt;&gt;"","O+",IF(N131&lt;&gt;"","O-",IF(O131&lt;&gt;"","AB+",IF(P131&lt;&gt;"","AB-",""))))))))</f>
        <v/>
      </c>
      <c r="R131" s="13" t="n"/>
      <c r="S131" s="13" t="n"/>
      <c r="T131" s="13" t="n"/>
      <c r="U131" s="13" t="n"/>
      <c r="V131" s="13" t="n"/>
      <c r="W131" s="13" t="n"/>
      <c r="X131" s="14">
        <f>IF(B131="","",IF(R131&lt;&gt;"","/",IF(S131&lt;&gt;"","OPOW",IF(T131&lt;&gt;"","DJS",IF(U131&lt;&gt;"","FCS",IF(V131&lt;&gt;"","RCS",IF(W131&lt;&gt;"","POLICE","")))))))</f>
        <v/>
      </c>
      <c r="Y131" s="12" t="n"/>
      <c r="Z131" s="15">
        <f>IF(Y131="","",Y131+30)</f>
        <v/>
      </c>
      <c r="AA131" s="13" t="n"/>
      <c r="AB131" s="13" t="n"/>
      <c r="AC131" s="13" t="n"/>
      <c r="AD131" s="13" t="n"/>
      <c r="AE131" s="14">
        <f>IF(B131="","",IF(AA131&lt;&gt;"","مدفوع",IF(AB131&lt;&gt;"","لم يدفع",IF(AC131&lt;&gt;"","تأمين فقط",IF(AD131&lt;&gt;"","اشتراك 300","")))))</f>
        <v/>
      </c>
      <c r="AF131" s="16">
        <f>IF(OR(AE131="لم يدفع",B131=""),"",IF(OR(AE131="تأمين فقط",X131="FCS",X131="RCS"),0,IF(OR(AE131="اشتراك 300",X131="POLICE",X131="OPOW",X131="DJS"),300,IF(H131&lt;14,1300,1500))))</f>
        <v/>
      </c>
      <c r="AG131" s="16">
        <f>IF(OR(AE131="لم يدفع",B131=""),"",500)</f>
        <v/>
      </c>
      <c r="AH131" s="16">
        <f>IF(OR(AE131="لم يدفع",AE131="تأمين فقط",AE131="اشتراك 300",X131="OPOW",X131="DJS",X131="FCS",X131="RCS",X131="POLICE",B131=""),"",1000)</f>
        <v/>
      </c>
      <c r="AI131" s="17">
        <f>IF(AE131="لم يدفع","",IF(AF131="","",AF131+AG131))</f>
        <v/>
      </c>
      <c r="AJ131" s="18">
        <f>IF(B131="","",IF(AE131="لم يدفع","🔒 مجمدة",IF(Z131="","",IF(Z131&lt;TODAY(),"⛔ منتهي - يتطلب تجديد",IF(Z131-5&lt;=TODAY(),"⚠️ قريب الانتهاء","✅ ساري")))))</f>
        <v/>
      </c>
      <c r="AK131" s="13" t="n"/>
      <c r="AL131" s="13" t="n"/>
      <c r="AM131" s="13" t="n"/>
      <c r="AN131" s="13" t="n"/>
      <c r="AO131" s="14">
        <f>IF(B131="","",IF(AK131&lt;&gt;"","الأحد والأربعاء",IF(AL131&lt;&gt;"","الاثنين والخميس",IF(AM131&lt;&gt;"","الثلاثاء والجمعة",IF(AN131&lt;&gt;"","كل الأيام","")))))</f>
        <v/>
      </c>
      <c r="AP131" s="13" t="n"/>
      <c r="AQ131" s="13" t="n"/>
      <c r="AR131" s="13" t="n"/>
      <c r="AS131" s="13" t="n"/>
      <c r="AT131" s="14">
        <f>IF(B131="","",IF(AP131&lt;&gt;"","09:00-10:00",IF(AQ131&lt;&gt;"","10:00-11:00",IF(AR131&lt;&gt;"","19:00-20:00",IF(AS131&lt;&gt;"","20:00-21:00","")))))</f>
        <v/>
      </c>
      <c r="AU131" s="19">
        <f>IF(B131="","",COUNTA(التجديد!E131:E131))</f>
        <v/>
      </c>
    </row>
    <row r="132" ht="22" customHeight="1">
      <c r="A132" s="10">
        <f>IF(B132="","","RCS "&amp;TEXT(ROW()-2,"000"))</f>
        <v/>
      </c>
      <c r="B132" s="11" t="n"/>
      <c r="C132" s="11" t="n"/>
      <c r="D132" s="12" t="n"/>
      <c r="E132" s="13" t="n"/>
      <c r="F132" s="13" t="n"/>
      <c r="G132" s="14">
        <f>IF(B132="","",IF(E132&lt;&gt;"","ذكر",IF(F132&lt;&gt;"","أنثى","")))</f>
        <v/>
      </c>
      <c r="H132" s="14">
        <f>IF(D132="","",DATEDIF(D132,TODAY(),"Y"))</f>
        <v/>
      </c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4">
        <f>IF(B132="","",IF(I132&lt;&gt;"","A+",IF(J132&lt;&gt;"","A-",IF(K132&lt;&gt;"","B+",IF(L132&lt;&gt;"","B-",IF(M132&lt;&gt;"","O+",IF(N132&lt;&gt;"","O-",IF(O132&lt;&gt;"","AB+",IF(P132&lt;&gt;"","AB-",""))))))))</f>
        <v/>
      </c>
      <c r="R132" s="13" t="n"/>
      <c r="S132" s="13" t="n"/>
      <c r="T132" s="13" t="n"/>
      <c r="U132" s="13" t="n"/>
      <c r="V132" s="13" t="n"/>
      <c r="W132" s="13" t="n"/>
      <c r="X132" s="14">
        <f>IF(B132="","",IF(R132&lt;&gt;"","/",IF(S132&lt;&gt;"","OPOW",IF(T132&lt;&gt;"","DJS",IF(U132&lt;&gt;"","FCS",IF(V132&lt;&gt;"","RCS",IF(W132&lt;&gt;"","POLICE","")))))))</f>
        <v/>
      </c>
      <c r="Y132" s="12" t="n"/>
      <c r="Z132" s="15">
        <f>IF(Y132="","",Y132+30)</f>
        <v/>
      </c>
      <c r="AA132" s="13" t="n"/>
      <c r="AB132" s="13" t="n"/>
      <c r="AC132" s="13" t="n"/>
      <c r="AD132" s="13" t="n"/>
      <c r="AE132" s="14">
        <f>IF(B132="","",IF(AA132&lt;&gt;"","مدفوع",IF(AB132&lt;&gt;"","لم يدفع",IF(AC132&lt;&gt;"","تأمين فقط",IF(AD132&lt;&gt;"","اشتراك 300","")))))</f>
        <v/>
      </c>
      <c r="AF132" s="16">
        <f>IF(OR(AE132="لم يدفع",B132=""),"",IF(OR(AE132="تأمين فقط",X132="FCS",X132="RCS"),0,IF(OR(AE132="اشتراك 300",X132="POLICE",X132="OPOW",X132="DJS"),300,IF(H132&lt;14,1300,1500))))</f>
        <v/>
      </c>
      <c r="AG132" s="16">
        <f>IF(OR(AE132="لم يدفع",B132=""),"",500)</f>
        <v/>
      </c>
      <c r="AH132" s="16">
        <f>IF(OR(AE132="لم يدفع",AE132="تأمين فقط",AE132="اشتراك 300",X132="OPOW",X132="DJS",X132="FCS",X132="RCS",X132="POLICE",B132=""),"",1000)</f>
        <v/>
      </c>
      <c r="AI132" s="17">
        <f>IF(AE132="لم يدفع","",IF(AF132="","",AF132+AG132))</f>
        <v/>
      </c>
      <c r="AJ132" s="18">
        <f>IF(B132="","",IF(AE132="لم يدفع","🔒 مجمدة",IF(Z132="","",IF(Z132&lt;TODAY(),"⛔ منتهي - يتطلب تجديد",IF(Z132-5&lt;=TODAY(),"⚠️ قريب الانتهاء","✅ ساري")))))</f>
        <v/>
      </c>
      <c r="AK132" s="13" t="n"/>
      <c r="AL132" s="13" t="n"/>
      <c r="AM132" s="13" t="n"/>
      <c r="AN132" s="13" t="n"/>
      <c r="AO132" s="14">
        <f>IF(B132="","",IF(AK132&lt;&gt;"","الأحد والأربعاء",IF(AL132&lt;&gt;"","الاثنين والخميس",IF(AM132&lt;&gt;"","الثلاثاء والجمعة",IF(AN132&lt;&gt;"","كل الأيام","")))))</f>
        <v/>
      </c>
      <c r="AP132" s="13" t="n"/>
      <c r="AQ132" s="13" t="n"/>
      <c r="AR132" s="13" t="n"/>
      <c r="AS132" s="13" t="n"/>
      <c r="AT132" s="14">
        <f>IF(B132="","",IF(AP132&lt;&gt;"","09:00-10:00",IF(AQ132&lt;&gt;"","10:00-11:00",IF(AR132&lt;&gt;"","19:00-20:00",IF(AS132&lt;&gt;"","20:00-21:00","")))))</f>
        <v/>
      </c>
      <c r="AU132" s="19">
        <f>IF(B132="","",COUNTA(التجديد!E132:E132))</f>
        <v/>
      </c>
    </row>
    <row r="133" ht="22" customHeight="1">
      <c r="A133" s="10">
        <f>IF(B133="","","RCS "&amp;TEXT(ROW()-2,"000"))</f>
        <v/>
      </c>
      <c r="B133" s="11" t="n"/>
      <c r="C133" s="11" t="n"/>
      <c r="D133" s="12" t="n"/>
      <c r="E133" s="13" t="n"/>
      <c r="F133" s="13" t="n"/>
      <c r="G133" s="14">
        <f>IF(B133="","",IF(E133&lt;&gt;"","ذكر",IF(F133&lt;&gt;"","أنثى","")))</f>
        <v/>
      </c>
      <c r="H133" s="14">
        <f>IF(D133="","",DATEDIF(D133,TODAY(),"Y"))</f>
        <v/>
      </c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4">
        <f>IF(B133="","",IF(I133&lt;&gt;"","A+",IF(J133&lt;&gt;"","A-",IF(K133&lt;&gt;"","B+",IF(L133&lt;&gt;"","B-",IF(M133&lt;&gt;"","O+",IF(N133&lt;&gt;"","O-",IF(O133&lt;&gt;"","AB+",IF(P133&lt;&gt;"","AB-",""))))))))</f>
        <v/>
      </c>
      <c r="R133" s="13" t="n"/>
      <c r="S133" s="13" t="n"/>
      <c r="T133" s="13" t="n"/>
      <c r="U133" s="13" t="n"/>
      <c r="V133" s="13" t="n"/>
      <c r="W133" s="13" t="n"/>
      <c r="X133" s="14">
        <f>IF(B133="","",IF(R133&lt;&gt;"","/",IF(S133&lt;&gt;"","OPOW",IF(T133&lt;&gt;"","DJS",IF(U133&lt;&gt;"","FCS",IF(V133&lt;&gt;"","RCS",IF(W133&lt;&gt;"","POLICE","")))))))</f>
        <v/>
      </c>
      <c r="Y133" s="12" t="n"/>
      <c r="Z133" s="15">
        <f>IF(Y133="","",Y133+30)</f>
        <v/>
      </c>
      <c r="AA133" s="13" t="n"/>
      <c r="AB133" s="13" t="n"/>
      <c r="AC133" s="13" t="n"/>
      <c r="AD133" s="13" t="n"/>
      <c r="AE133" s="14">
        <f>IF(B133="","",IF(AA133&lt;&gt;"","مدفوع",IF(AB133&lt;&gt;"","لم يدفع",IF(AC133&lt;&gt;"","تأمين فقط",IF(AD133&lt;&gt;"","اشتراك 300","")))))</f>
        <v/>
      </c>
      <c r="AF133" s="16">
        <f>IF(OR(AE133="لم يدفع",B133=""),"",IF(OR(AE133="تأمين فقط",X133="FCS",X133="RCS"),0,IF(OR(AE133="اشتراك 300",X133="POLICE",X133="OPOW",X133="DJS"),300,IF(H133&lt;14,1300,1500))))</f>
        <v/>
      </c>
      <c r="AG133" s="16">
        <f>IF(OR(AE133="لم يدفع",B133=""),"",500)</f>
        <v/>
      </c>
      <c r="AH133" s="16">
        <f>IF(OR(AE133="لم يدفع",AE133="تأمين فقط",AE133="اشتراك 300",X133="OPOW",X133="DJS",X133="FCS",X133="RCS",X133="POLICE",B133=""),"",1000)</f>
        <v/>
      </c>
      <c r="AI133" s="17">
        <f>IF(AE133="لم يدفع","",IF(AF133="","",AF133+AG133))</f>
        <v/>
      </c>
      <c r="AJ133" s="18">
        <f>IF(B133="","",IF(AE133="لم يدفع","🔒 مجمدة",IF(Z133="","",IF(Z133&lt;TODAY(),"⛔ منتهي - يتطلب تجديد",IF(Z133-5&lt;=TODAY(),"⚠️ قريب الانتهاء","✅ ساري")))))</f>
        <v/>
      </c>
      <c r="AK133" s="13" t="n"/>
      <c r="AL133" s="13" t="n"/>
      <c r="AM133" s="13" t="n"/>
      <c r="AN133" s="13" t="n"/>
      <c r="AO133" s="14">
        <f>IF(B133="","",IF(AK133&lt;&gt;"","الأحد والأربعاء",IF(AL133&lt;&gt;"","الاثنين والخميس",IF(AM133&lt;&gt;"","الثلاثاء والجمعة",IF(AN133&lt;&gt;"","كل الأيام","")))))</f>
        <v/>
      </c>
      <c r="AP133" s="13" t="n"/>
      <c r="AQ133" s="13" t="n"/>
      <c r="AR133" s="13" t="n"/>
      <c r="AS133" s="13" t="n"/>
      <c r="AT133" s="14">
        <f>IF(B133="","",IF(AP133&lt;&gt;"","09:00-10:00",IF(AQ133&lt;&gt;"","10:00-11:00",IF(AR133&lt;&gt;"","19:00-20:00",IF(AS133&lt;&gt;"","20:00-21:00","")))))</f>
        <v/>
      </c>
      <c r="AU133" s="19">
        <f>IF(B133="","",COUNTA(التجديد!E133:E133))</f>
        <v/>
      </c>
    </row>
    <row r="134" ht="22" customHeight="1">
      <c r="A134" s="10">
        <f>IF(B134="","","RCS "&amp;TEXT(ROW()-2,"000"))</f>
        <v/>
      </c>
      <c r="B134" s="11" t="n"/>
      <c r="C134" s="11" t="n"/>
      <c r="D134" s="12" t="n"/>
      <c r="E134" s="13" t="n"/>
      <c r="F134" s="13" t="n"/>
      <c r="G134" s="14">
        <f>IF(B134="","",IF(E134&lt;&gt;"","ذكر",IF(F134&lt;&gt;"","أنثى","")))</f>
        <v/>
      </c>
      <c r="H134" s="14">
        <f>IF(D134="","",DATEDIF(D134,TODAY(),"Y"))</f>
        <v/>
      </c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4">
        <f>IF(B134="","",IF(I134&lt;&gt;"","A+",IF(J134&lt;&gt;"","A-",IF(K134&lt;&gt;"","B+",IF(L134&lt;&gt;"","B-",IF(M134&lt;&gt;"","O+",IF(N134&lt;&gt;"","O-",IF(O134&lt;&gt;"","AB+",IF(P134&lt;&gt;"","AB-",""))))))))</f>
        <v/>
      </c>
      <c r="R134" s="13" t="n"/>
      <c r="S134" s="13" t="n"/>
      <c r="T134" s="13" t="n"/>
      <c r="U134" s="13" t="n"/>
      <c r="V134" s="13" t="n"/>
      <c r="W134" s="13" t="n"/>
      <c r="X134" s="14">
        <f>IF(B134="","",IF(R134&lt;&gt;"","/",IF(S134&lt;&gt;"","OPOW",IF(T134&lt;&gt;"","DJS",IF(U134&lt;&gt;"","FCS",IF(V134&lt;&gt;"","RCS",IF(W134&lt;&gt;"","POLICE","")))))))</f>
        <v/>
      </c>
      <c r="Y134" s="12" t="n"/>
      <c r="Z134" s="15">
        <f>IF(Y134="","",Y134+30)</f>
        <v/>
      </c>
      <c r="AA134" s="13" t="n"/>
      <c r="AB134" s="13" t="n"/>
      <c r="AC134" s="13" t="n"/>
      <c r="AD134" s="13" t="n"/>
      <c r="AE134" s="14">
        <f>IF(B134="","",IF(AA134&lt;&gt;"","مدفوع",IF(AB134&lt;&gt;"","لم يدفع",IF(AC134&lt;&gt;"","تأمين فقط",IF(AD134&lt;&gt;"","اشتراك 300","")))))</f>
        <v/>
      </c>
      <c r="AF134" s="16">
        <f>IF(OR(AE134="لم يدفع",B134=""),"",IF(OR(AE134="تأمين فقط",X134="FCS",X134="RCS"),0,IF(OR(AE134="اشتراك 300",X134="POLICE",X134="OPOW",X134="DJS"),300,IF(H134&lt;14,1300,1500))))</f>
        <v/>
      </c>
      <c r="AG134" s="16">
        <f>IF(OR(AE134="لم يدفع",B134=""),"",500)</f>
        <v/>
      </c>
      <c r="AH134" s="16">
        <f>IF(OR(AE134="لم يدفع",AE134="تأمين فقط",AE134="اشتراك 300",X134="OPOW",X134="DJS",X134="FCS",X134="RCS",X134="POLICE",B134=""),"",1000)</f>
        <v/>
      </c>
      <c r="AI134" s="17">
        <f>IF(AE134="لم يدفع","",IF(AF134="","",AF134+AG134))</f>
        <v/>
      </c>
      <c r="AJ134" s="18">
        <f>IF(B134="","",IF(AE134="لم يدفع","🔒 مجمدة",IF(Z134="","",IF(Z134&lt;TODAY(),"⛔ منتهي - يتطلب تجديد",IF(Z134-5&lt;=TODAY(),"⚠️ قريب الانتهاء","✅ ساري")))))</f>
        <v/>
      </c>
      <c r="AK134" s="13" t="n"/>
      <c r="AL134" s="13" t="n"/>
      <c r="AM134" s="13" t="n"/>
      <c r="AN134" s="13" t="n"/>
      <c r="AO134" s="14">
        <f>IF(B134="","",IF(AK134&lt;&gt;"","الأحد والأربعاء",IF(AL134&lt;&gt;"","الاثنين والخميس",IF(AM134&lt;&gt;"","الثلاثاء والجمعة",IF(AN134&lt;&gt;"","كل الأيام","")))))</f>
        <v/>
      </c>
      <c r="AP134" s="13" t="n"/>
      <c r="AQ134" s="13" t="n"/>
      <c r="AR134" s="13" t="n"/>
      <c r="AS134" s="13" t="n"/>
      <c r="AT134" s="14">
        <f>IF(B134="","",IF(AP134&lt;&gt;"","09:00-10:00",IF(AQ134&lt;&gt;"","10:00-11:00",IF(AR134&lt;&gt;"","19:00-20:00",IF(AS134&lt;&gt;"","20:00-21:00","")))))</f>
        <v/>
      </c>
      <c r="AU134" s="19">
        <f>IF(B134="","",COUNTA(التجديد!E134:E134))</f>
        <v/>
      </c>
    </row>
    <row r="135" ht="22" customHeight="1">
      <c r="A135" s="10">
        <f>IF(B135="","","RCS "&amp;TEXT(ROW()-2,"000"))</f>
        <v/>
      </c>
      <c r="B135" s="11" t="n"/>
      <c r="C135" s="11" t="n"/>
      <c r="D135" s="12" t="n"/>
      <c r="E135" s="13" t="n"/>
      <c r="F135" s="13" t="n"/>
      <c r="G135" s="14">
        <f>IF(B135="","",IF(E135&lt;&gt;"","ذكر",IF(F135&lt;&gt;"","أنثى","")))</f>
        <v/>
      </c>
      <c r="H135" s="14">
        <f>IF(D135="","",DATEDIF(D135,TODAY(),"Y"))</f>
        <v/>
      </c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4">
        <f>IF(B135="","",IF(I135&lt;&gt;"","A+",IF(J135&lt;&gt;"","A-",IF(K135&lt;&gt;"","B+",IF(L135&lt;&gt;"","B-",IF(M135&lt;&gt;"","O+",IF(N135&lt;&gt;"","O-",IF(O135&lt;&gt;"","AB+",IF(P135&lt;&gt;"","AB-",""))))))))</f>
        <v/>
      </c>
      <c r="R135" s="13" t="n"/>
      <c r="S135" s="13" t="n"/>
      <c r="T135" s="13" t="n"/>
      <c r="U135" s="13" t="n"/>
      <c r="V135" s="13" t="n"/>
      <c r="W135" s="13" t="n"/>
      <c r="X135" s="14">
        <f>IF(B135="","",IF(R135&lt;&gt;"","/",IF(S135&lt;&gt;"","OPOW",IF(T135&lt;&gt;"","DJS",IF(U135&lt;&gt;"","FCS",IF(V135&lt;&gt;"","RCS",IF(W135&lt;&gt;"","POLICE","")))))))</f>
        <v/>
      </c>
      <c r="Y135" s="12" t="n"/>
      <c r="Z135" s="15">
        <f>IF(Y135="","",Y135+30)</f>
        <v/>
      </c>
      <c r="AA135" s="13" t="n"/>
      <c r="AB135" s="13" t="n"/>
      <c r="AC135" s="13" t="n"/>
      <c r="AD135" s="13" t="n"/>
      <c r="AE135" s="14">
        <f>IF(B135="","",IF(AA135&lt;&gt;"","مدفوع",IF(AB135&lt;&gt;"","لم يدفع",IF(AC135&lt;&gt;"","تأمين فقط",IF(AD135&lt;&gt;"","اشتراك 300","")))))</f>
        <v/>
      </c>
      <c r="AF135" s="16">
        <f>IF(OR(AE135="لم يدفع",B135=""),"",IF(OR(AE135="تأمين فقط",X135="FCS",X135="RCS"),0,IF(OR(AE135="اشتراك 300",X135="POLICE",X135="OPOW",X135="DJS"),300,IF(H135&lt;14,1300,1500))))</f>
        <v/>
      </c>
      <c r="AG135" s="16">
        <f>IF(OR(AE135="لم يدفع",B135=""),"",500)</f>
        <v/>
      </c>
      <c r="AH135" s="16">
        <f>IF(OR(AE135="لم يدفع",AE135="تأمين فقط",AE135="اشتراك 300",X135="OPOW",X135="DJS",X135="FCS",X135="RCS",X135="POLICE",B135=""),"",1000)</f>
        <v/>
      </c>
      <c r="AI135" s="17">
        <f>IF(AE135="لم يدفع","",IF(AF135="","",AF135+AG135))</f>
        <v/>
      </c>
      <c r="AJ135" s="18">
        <f>IF(B135="","",IF(AE135="لم يدفع","🔒 مجمدة",IF(Z135="","",IF(Z135&lt;TODAY(),"⛔ منتهي - يتطلب تجديد",IF(Z135-5&lt;=TODAY(),"⚠️ قريب الانتهاء","✅ ساري")))))</f>
        <v/>
      </c>
      <c r="AK135" s="13" t="n"/>
      <c r="AL135" s="13" t="n"/>
      <c r="AM135" s="13" t="n"/>
      <c r="AN135" s="13" t="n"/>
      <c r="AO135" s="14">
        <f>IF(B135="","",IF(AK135&lt;&gt;"","الأحد والأربعاء",IF(AL135&lt;&gt;"","الاثنين والخميس",IF(AM135&lt;&gt;"","الثلاثاء والجمعة",IF(AN135&lt;&gt;"","كل الأيام","")))))</f>
        <v/>
      </c>
      <c r="AP135" s="13" t="n"/>
      <c r="AQ135" s="13" t="n"/>
      <c r="AR135" s="13" t="n"/>
      <c r="AS135" s="13" t="n"/>
      <c r="AT135" s="14">
        <f>IF(B135="","",IF(AP135&lt;&gt;"","09:00-10:00",IF(AQ135&lt;&gt;"","10:00-11:00",IF(AR135&lt;&gt;"","19:00-20:00",IF(AS135&lt;&gt;"","20:00-21:00","")))))</f>
        <v/>
      </c>
      <c r="AU135" s="19">
        <f>IF(B135="","",COUNTA(التجديد!E135:E135))</f>
        <v/>
      </c>
    </row>
    <row r="136" ht="22" customHeight="1">
      <c r="A136" s="10">
        <f>IF(B136="","","RCS "&amp;TEXT(ROW()-2,"000"))</f>
        <v/>
      </c>
      <c r="B136" s="11" t="n"/>
      <c r="C136" s="11" t="n"/>
      <c r="D136" s="12" t="n"/>
      <c r="E136" s="13" t="n"/>
      <c r="F136" s="13" t="n"/>
      <c r="G136" s="14">
        <f>IF(B136="","",IF(E136&lt;&gt;"","ذكر",IF(F136&lt;&gt;"","أنثى","")))</f>
        <v/>
      </c>
      <c r="H136" s="14">
        <f>IF(D136="","",DATEDIF(D136,TODAY(),"Y"))</f>
        <v/>
      </c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4">
        <f>IF(B136="","",IF(I136&lt;&gt;"","A+",IF(J136&lt;&gt;"","A-",IF(K136&lt;&gt;"","B+",IF(L136&lt;&gt;"","B-",IF(M136&lt;&gt;"","O+",IF(N136&lt;&gt;"","O-",IF(O136&lt;&gt;"","AB+",IF(P136&lt;&gt;"","AB-",""))))))))</f>
        <v/>
      </c>
      <c r="R136" s="13" t="n"/>
      <c r="S136" s="13" t="n"/>
      <c r="T136" s="13" t="n"/>
      <c r="U136" s="13" t="n"/>
      <c r="V136" s="13" t="n"/>
      <c r="W136" s="13" t="n"/>
      <c r="X136" s="14">
        <f>IF(B136="","",IF(R136&lt;&gt;"","/",IF(S136&lt;&gt;"","OPOW",IF(T136&lt;&gt;"","DJS",IF(U136&lt;&gt;"","FCS",IF(V136&lt;&gt;"","RCS",IF(W136&lt;&gt;"","POLICE","")))))))</f>
        <v/>
      </c>
      <c r="Y136" s="12" t="n"/>
      <c r="Z136" s="15">
        <f>IF(Y136="","",Y136+30)</f>
        <v/>
      </c>
      <c r="AA136" s="13" t="n"/>
      <c r="AB136" s="13" t="n"/>
      <c r="AC136" s="13" t="n"/>
      <c r="AD136" s="13" t="n"/>
      <c r="AE136" s="14">
        <f>IF(B136="","",IF(AA136&lt;&gt;"","مدفوع",IF(AB136&lt;&gt;"","لم يدفع",IF(AC136&lt;&gt;"","تأمين فقط",IF(AD136&lt;&gt;"","اشتراك 300","")))))</f>
        <v/>
      </c>
      <c r="AF136" s="16">
        <f>IF(OR(AE136="لم يدفع",B136=""),"",IF(OR(AE136="تأمين فقط",X136="FCS",X136="RCS"),0,IF(OR(AE136="اشتراك 300",X136="POLICE",X136="OPOW",X136="DJS"),300,IF(H136&lt;14,1300,1500))))</f>
        <v/>
      </c>
      <c r="AG136" s="16">
        <f>IF(OR(AE136="لم يدفع",B136=""),"",500)</f>
        <v/>
      </c>
      <c r="AH136" s="16">
        <f>IF(OR(AE136="لم يدفع",AE136="تأمين فقط",AE136="اشتراك 300",X136="OPOW",X136="DJS",X136="FCS",X136="RCS",X136="POLICE",B136=""),"",1000)</f>
        <v/>
      </c>
      <c r="AI136" s="17">
        <f>IF(AE136="لم يدفع","",IF(AF136="","",AF136+AG136))</f>
        <v/>
      </c>
      <c r="AJ136" s="18">
        <f>IF(B136="","",IF(AE136="لم يدفع","🔒 مجمدة",IF(Z136="","",IF(Z136&lt;TODAY(),"⛔ منتهي - يتطلب تجديد",IF(Z136-5&lt;=TODAY(),"⚠️ قريب الانتهاء","✅ ساري")))))</f>
        <v/>
      </c>
      <c r="AK136" s="13" t="n"/>
      <c r="AL136" s="13" t="n"/>
      <c r="AM136" s="13" t="n"/>
      <c r="AN136" s="13" t="n"/>
      <c r="AO136" s="14">
        <f>IF(B136="","",IF(AK136&lt;&gt;"","الأحد والأربعاء",IF(AL136&lt;&gt;"","الاثنين والخميس",IF(AM136&lt;&gt;"","الثلاثاء والجمعة",IF(AN136&lt;&gt;"","كل الأيام","")))))</f>
        <v/>
      </c>
      <c r="AP136" s="13" t="n"/>
      <c r="AQ136" s="13" t="n"/>
      <c r="AR136" s="13" t="n"/>
      <c r="AS136" s="13" t="n"/>
      <c r="AT136" s="14">
        <f>IF(B136="","",IF(AP136&lt;&gt;"","09:00-10:00",IF(AQ136&lt;&gt;"","10:00-11:00",IF(AR136&lt;&gt;"","19:00-20:00",IF(AS136&lt;&gt;"","20:00-21:00","")))))</f>
        <v/>
      </c>
      <c r="AU136" s="19">
        <f>IF(B136="","",COUNTA(التجديد!E136:E136))</f>
        <v/>
      </c>
    </row>
    <row r="137" ht="22" customHeight="1">
      <c r="A137" s="10">
        <f>IF(B137="","","RCS "&amp;TEXT(ROW()-2,"000"))</f>
        <v/>
      </c>
      <c r="B137" s="11" t="n"/>
      <c r="C137" s="11" t="n"/>
      <c r="D137" s="12" t="n"/>
      <c r="E137" s="13" t="n"/>
      <c r="F137" s="13" t="n"/>
      <c r="G137" s="14">
        <f>IF(B137="","",IF(E137&lt;&gt;"","ذكر",IF(F137&lt;&gt;"","أنثى","")))</f>
        <v/>
      </c>
      <c r="H137" s="14">
        <f>IF(D137="","",DATEDIF(D137,TODAY(),"Y"))</f>
        <v/>
      </c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4">
        <f>IF(B137="","",IF(I137&lt;&gt;"","A+",IF(J137&lt;&gt;"","A-",IF(K137&lt;&gt;"","B+",IF(L137&lt;&gt;"","B-",IF(M137&lt;&gt;"","O+",IF(N137&lt;&gt;"","O-",IF(O137&lt;&gt;"","AB+",IF(P137&lt;&gt;"","AB-",""))))))))</f>
        <v/>
      </c>
      <c r="R137" s="13" t="n"/>
      <c r="S137" s="13" t="n"/>
      <c r="T137" s="13" t="n"/>
      <c r="U137" s="13" t="n"/>
      <c r="V137" s="13" t="n"/>
      <c r="W137" s="13" t="n"/>
      <c r="X137" s="14">
        <f>IF(B137="","",IF(R137&lt;&gt;"","/",IF(S137&lt;&gt;"","OPOW",IF(T137&lt;&gt;"","DJS",IF(U137&lt;&gt;"","FCS",IF(V137&lt;&gt;"","RCS",IF(W137&lt;&gt;"","POLICE","")))))))</f>
        <v/>
      </c>
      <c r="Y137" s="12" t="n"/>
      <c r="Z137" s="15">
        <f>IF(Y137="","",Y137+30)</f>
        <v/>
      </c>
      <c r="AA137" s="13" t="n"/>
      <c r="AB137" s="13" t="n"/>
      <c r="AC137" s="13" t="n"/>
      <c r="AD137" s="13" t="n"/>
      <c r="AE137" s="14">
        <f>IF(B137="","",IF(AA137&lt;&gt;"","مدفوع",IF(AB137&lt;&gt;"","لم يدفع",IF(AC137&lt;&gt;"","تأمين فقط",IF(AD137&lt;&gt;"","اشتراك 300","")))))</f>
        <v/>
      </c>
      <c r="AF137" s="16">
        <f>IF(OR(AE137="لم يدفع",B137=""),"",IF(OR(AE137="تأمين فقط",X137="FCS",X137="RCS"),0,IF(OR(AE137="اشتراك 300",X137="POLICE",X137="OPOW",X137="DJS"),300,IF(H137&lt;14,1300,1500))))</f>
        <v/>
      </c>
      <c r="AG137" s="16">
        <f>IF(OR(AE137="لم يدفع",B137=""),"",500)</f>
        <v/>
      </c>
      <c r="AH137" s="16">
        <f>IF(OR(AE137="لم يدفع",AE137="تأمين فقط",AE137="اشتراك 300",X137="OPOW",X137="DJS",X137="FCS",X137="RCS",X137="POLICE",B137=""),"",1000)</f>
        <v/>
      </c>
      <c r="AI137" s="17">
        <f>IF(AE137="لم يدفع","",IF(AF137="","",AF137+AG137))</f>
        <v/>
      </c>
      <c r="AJ137" s="18">
        <f>IF(B137="","",IF(AE137="لم يدفع","🔒 مجمدة",IF(Z137="","",IF(Z137&lt;TODAY(),"⛔ منتهي - يتطلب تجديد",IF(Z137-5&lt;=TODAY(),"⚠️ قريب الانتهاء","✅ ساري")))))</f>
        <v/>
      </c>
      <c r="AK137" s="13" t="n"/>
      <c r="AL137" s="13" t="n"/>
      <c r="AM137" s="13" t="n"/>
      <c r="AN137" s="13" t="n"/>
      <c r="AO137" s="14">
        <f>IF(B137="","",IF(AK137&lt;&gt;"","الأحد والأربعاء",IF(AL137&lt;&gt;"","الاثنين والخميس",IF(AM137&lt;&gt;"","الثلاثاء والجمعة",IF(AN137&lt;&gt;"","كل الأيام","")))))</f>
        <v/>
      </c>
      <c r="AP137" s="13" t="n"/>
      <c r="AQ137" s="13" t="n"/>
      <c r="AR137" s="13" t="n"/>
      <c r="AS137" s="13" t="n"/>
      <c r="AT137" s="14">
        <f>IF(B137="","",IF(AP137&lt;&gt;"","09:00-10:00",IF(AQ137&lt;&gt;"","10:00-11:00",IF(AR137&lt;&gt;"","19:00-20:00",IF(AS137&lt;&gt;"","20:00-21:00","")))))</f>
        <v/>
      </c>
      <c r="AU137" s="19">
        <f>IF(B137="","",COUNTA(التجديد!E137:E137))</f>
        <v/>
      </c>
    </row>
    <row r="138" ht="22" customHeight="1">
      <c r="A138" s="10">
        <f>IF(B138="","","RCS "&amp;TEXT(ROW()-2,"000"))</f>
        <v/>
      </c>
      <c r="B138" s="11" t="n"/>
      <c r="C138" s="11" t="n"/>
      <c r="D138" s="12" t="n"/>
      <c r="E138" s="13" t="n"/>
      <c r="F138" s="13" t="n"/>
      <c r="G138" s="14">
        <f>IF(B138="","",IF(E138&lt;&gt;"","ذكر",IF(F138&lt;&gt;"","أنثى","")))</f>
        <v/>
      </c>
      <c r="H138" s="14">
        <f>IF(D138="","",DATEDIF(D138,TODAY(),"Y"))</f>
        <v/>
      </c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4">
        <f>IF(B138="","",IF(I138&lt;&gt;"","A+",IF(J138&lt;&gt;"","A-",IF(K138&lt;&gt;"","B+",IF(L138&lt;&gt;"","B-",IF(M138&lt;&gt;"","O+",IF(N138&lt;&gt;"","O-",IF(O138&lt;&gt;"","AB+",IF(P138&lt;&gt;"","AB-",""))))))))</f>
        <v/>
      </c>
      <c r="R138" s="13" t="n"/>
      <c r="S138" s="13" t="n"/>
      <c r="T138" s="13" t="n"/>
      <c r="U138" s="13" t="n"/>
      <c r="V138" s="13" t="n"/>
      <c r="W138" s="13" t="n"/>
      <c r="X138" s="14">
        <f>IF(B138="","",IF(R138&lt;&gt;"","/",IF(S138&lt;&gt;"","OPOW",IF(T138&lt;&gt;"","DJS",IF(U138&lt;&gt;"","FCS",IF(V138&lt;&gt;"","RCS",IF(W138&lt;&gt;"","POLICE","")))))))</f>
        <v/>
      </c>
      <c r="Y138" s="12" t="n"/>
      <c r="Z138" s="15">
        <f>IF(Y138="","",Y138+30)</f>
        <v/>
      </c>
      <c r="AA138" s="13" t="n"/>
      <c r="AB138" s="13" t="n"/>
      <c r="AC138" s="13" t="n"/>
      <c r="AD138" s="13" t="n"/>
      <c r="AE138" s="14">
        <f>IF(B138="","",IF(AA138&lt;&gt;"","مدفوع",IF(AB138&lt;&gt;"","لم يدفع",IF(AC138&lt;&gt;"","تأمين فقط",IF(AD138&lt;&gt;"","اشتراك 300","")))))</f>
        <v/>
      </c>
      <c r="AF138" s="16">
        <f>IF(OR(AE138="لم يدفع",B138=""),"",IF(OR(AE138="تأمين فقط",X138="FCS",X138="RCS"),0,IF(OR(AE138="اشتراك 300",X138="POLICE",X138="OPOW",X138="DJS"),300,IF(H138&lt;14,1300,1500))))</f>
        <v/>
      </c>
      <c r="AG138" s="16">
        <f>IF(OR(AE138="لم يدفع",B138=""),"",500)</f>
        <v/>
      </c>
      <c r="AH138" s="16">
        <f>IF(OR(AE138="لم يدفع",AE138="تأمين فقط",AE138="اشتراك 300",X138="OPOW",X138="DJS",X138="FCS",X138="RCS",X138="POLICE",B138=""),"",1000)</f>
        <v/>
      </c>
      <c r="AI138" s="17">
        <f>IF(AE138="لم يدفع","",IF(AF138="","",AF138+AG138))</f>
        <v/>
      </c>
      <c r="AJ138" s="18">
        <f>IF(B138="","",IF(AE138="لم يدفع","🔒 مجمدة",IF(Z138="","",IF(Z138&lt;TODAY(),"⛔ منتهي - يتطلب تجديد",IF(Z138-5&lt;=TODAY(),"⚠️ قريب الانتهاء","✅ ساري")))))</f>
        <v/>
      </c>
      <c r="AK138" s="13" t="n"/>
      <c r="AL138" s="13" t="n"/>
      <c r="AM138" s="13" t="n"/>
      <c r="AN138" s="13" t="n"/>
      <c r="AO138" s="14">
        <f>IF(B138="","",IF(AK138&lt;&gt;"","الأحد والأربعاء",IF(AL138&lt;&gt;"","الاثنين والخميس",IF(AM138&lt;&gt;"","الثلاثاء والجمعة",IF(AN138&lt;&gt;"","كل الأيام","")))))</f>
        <v/>
      </c>
      <c r="AP138" s="13" t="n"/>
      <c r="AQ138" s="13" t="n"/>
      <c r="AR138" s="13" t="n"/>
      <c r="AS138" s="13" t="n"/>
      <c r="AT138" s="14">
        <f>IF(B138="","",IF(AP138&lt;&gt;"","09:00-10:00",IF(AQ138&lt;&gt;"","10:00-11:00",IF(AR138&lt;&gt;"","19:00-20:00",IF(AS138&lt;&gt;"","20:00-21:00","")))))</f>
        <v/>
      </c>
      <c r="AU138" s="19">
        <f>IF(B138="","",COUNTA(التجديد!E138:E138))</f>
        <v/>
      </c>
    </row>
    <row r="139" ht="22" customHeight="1">
      <c r="A139" s="10">
        <f>IF(B139="","","RCS "&amp;TEXT(ROW()-2,"000"))</f>
        <v/>
      </c>
      <c r="B139" s="11" t="n"/>
      <c r="C139" s="11" t="n"/>
      <c r="D139" s="12" t="n"/>
      <c r="E139" s="13" t="n"/>
      <c r="F139" s="13" t="n"/>
      <c r="G139" s="14">
        <f>IF(B139="","",IF(E139&lt;&gt;"","ذكر",IF(F139&lt;&gt;"","أنثى","")))</f>
        <v/>
      </c>
      <c r="H139" s="14">
        <f>IF(D139="","",DATEDIF(D139,TODAY(),"Y"))</f>
        <v/>
      </c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4">
        <f>IF(B139="","",IF(I139&lt;&gt;"","A+",IF(J139&lt;&gt;"","A-",IF(K139&lt;&gt;"","B+",IF(L139&lt;&gt;"","B-",IF(M139&lt;&gt;"","O+",IF(N139&lt;&gt;"","O-",IF(O139&lt;&gt;"","AB+",IF(P139&lt;&gt;"","AB-",""))))))))</f>
        <v/>
      </c>
      <c r="R139" s="13" t="n"/>
      <c r="S139" s="13" t="n"/>
      <c r="T139" s="13" t="n"/>
      <c r="U139" s="13" t="n"/>
      <c r="V139" s="13" t="n"/>
      <c r="W139" s="13" t="n"/>
      <c r="X139" s="14">
        <f>IF(B139="","",IF(R139&lt;&gt;"","/",IF(S139&lt;&gt;"","OPOW",IF(T139&lt;&gt;"","DJS",IF(U139&lt;&gt;"","FCS",IF(V139&lt;&gt;"","RCS",IF(W139&lt;&gt;"","POLICE","")))))))</f>
        <v/>
      </c>
      <c r="Y139" s="12" t="n"/>
      <c r="Z139" s="15">
        <f>IF(Y139="","",Y139+30)</f>
        <v/>
      </c>
      <c r="AA139" s="13" t="n"/>
      <c r="AB139" s="13" t="n"/>
      <c r="AC139" s="13" t="n"/>
      <c r="AD139" s="13" t="n"/>
      <c r="AE139" s="14">
        <f>IF(B139="","",IF(AA139&lt;&gt;"","مدفوع",IF(AB139&lt;&gt;"","لم يدفع",IF(AC139&lt;&gt;"","تأمين فقط",IF(AD139&lt;&gt;"","اشتراك 300","")))))</f>
        <v/>
      </c>
      <c r="AF139" s="16">
        <f>IF(OR(AE139="لم يدفع",B139=""),"",IF(OR(AE139="تأمين فقط",X139="FCS",X139="RCS"),0,IF(OR(AE139="اشتراك 300",X139="POLICE",X139="OPOW",X139="DJS"),300,IF(H139&lt;14,1300,1500))))</f>
        <v/>
      </c>
      <c r="AG139" s="16">
        <f>IF(OR(AE139="لم يدفع",B139=""),"",500)</f>
        <v/>
      </c>
      <c r="AH139" s="16">
        <f>IF(OR(AE139="لم يدفع",AE139="تأمين فقط",AE139="اشتراك 300",X139="OPOW",X139="DJS",X139="FCS",X139="RCS",X139="POLICE",B139=""),"",1000)</f>
        <v/>
      </c>
      <c r="AI139" s="17">
        <f>IF(AE139="لم يدفع","",IF(AF139="","",AF139+AG139))</f>
        <v/>
      </c>
      <c r="AJ139" s="18">
        <f>IF(B139="","",IF(AE139="لم يدفع","🔒 مجمدة",IF(Z139="","",IF(Z139&lt;TODAY(),"⛔ منتهي - يتطلب تجديد",IF(Z139-5&lt;=TODAY(),"⚠️ قريب الانتهاء","✅ ساري")))))</f>
        <v/>
      </c>
      <c r="AK139" s="13" t="n"/>
      <c r="AL139" s="13" t="n"/>
      <c r="AM139" s="13" t="n"/>
      <c r="AN139" s="13" t="n"/>
      <c r="AO139" s="14">
        <f>IF(B139="","",IF(AK139&lt;&gt;"","الأحد والأربعاء",IF(AL139&lt;&gt;"","الاثنين والخميس",IF(AM139&lt;&gt;"","الثلاثاء والجمعة",IF(AN139&lt;&gt;"","كل الأيام","")))))</f>
        <v/>
      </c>
      <c r="AP139" s="13" t="n"/>
      <c r="AQ139" s="13" t="n"/>
      <c r="AR139" s="13" t="n"/>
      <c r="AS139" s="13" t="n"/>
      <c r="AT139" s="14">
        <f>IF(B139="","",IF(AP139&lt;&gt;"","09:00-10:00",IF(AQ139&lt;&gt;"","10:00-11:00",IF(AR139&lt;&gt;"","19:00-20:00",IF(AS139&lt;&gt;"","20:00-21:00","")))))</f>
        <v/>
      </c>
      <c r="AU139" s="19">
        <f>IF(B139="","",COUNTA(التجديد!E139:E139))</f>
        <v/>
      </c>
    </row>
    <row r="140" ht="22" customHeight="1">
      <c r="A140" s="10">
        <f>IF(B140="","","RCS "&amp;TEXT(ROW()-2,"000"))</f>
        <v/>
      </c>
      <c r="B140" s="11" t="n"/>
      <c r="C140" s="11" t="n"/>
      <c r="D140" s="12" t="n"/>
      <c r="E140" s="13" t="n"/>
      <c r="F140" s="13" t="n"/>
      <c r="G140" s="14">
        <f>IF(B140="","",IF(E140&lt;&gt;"","ذكر",IF(F140&lt;&gt;"","أنثى","")))</f>
        <v/>
      </c>
      <c r="H140" s="14">
        <f>IF(D140="","",DATEDIF(D140,TODAY(),"Y"))</f>
        <v/>
      </c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4">
        <f>IF(B140="","",IF(I140&lt;&gt;"","A+",IF(J140&lt;&gt;"","A-",IF(K140&lt;&gt;"","B+",IF(L140&lt;&gt;"","B-",IF(M140&lt;&gt;"","O+",IF(N140&lt;&gt;"","O-",IF(O140&lt;&gt;"","AB+",IF(P140&lt;&gt;"","AB-",""))))))))</f>
        <v/>
      </c>
      <c r="R140" s="13" t="n"/>
      <c r="S140" s="13" t="n"/>
      <c r="T140" s="13" t="n"/>
      <c r="U140" s="13" t="n"/>
      <c r="V140" s="13" t="n"/>
      <c r="W140" s="13" t="n"/>
      <c r="X140" s="14">
        <f>IF(B140="","",IF(R140&lt;&gt;"","/",IF(S140&lt;&gt;"","OPOW",IF(T140&lt;&gt;"","DJS",IF(U140&lt;&gt;"","FCS",IF(V140&lt;&gt;"","RCS",IF(W140&lt;&gt;"","POLICE","")))))))</f>
        <v/>
      </c>
      <c r="Y140" s="12" t="n"/>
      <c r="Z140" s="15">
        <f>IF(Y140="","",Y140+30)</f>
        <v/>
      </c>
      <c r="AA140" s="13" t="n"/>
      <c r="AB140" s="13" t="n"/>
      <c r="AC140" s="13" t="n"/>
      <c r="AD140" s="13" t="n"/>
      <c r="AE140" s="14">
        <f>IF(B140="","",IF(AA140&lt;&gt;"","مدفوع",IF(AB140&lt;&gt;"","لم يدفع",IF(AC140&lt;&gt;"","تأمين فقط",IF(AD140&lt;&gt;"","اشتراك 300","")))))</f>
        <v/>
      </c>
      <c r="AF140" s="16">
        <f>IF(OR(AE140="لم يدفع",B140=""),"",IF(OR(AE140="تأمين فقط",X140="FCS",X140="RCS"),0,IF(OR(AE140="اشتراك 300",X140="POLICE",X140="OPOW",X140="DJS"),300,IF(H140&lt;14,1300,1500))))</f>
        <v/>
      </c>
      <c r="AG140" s="16">
        <f>IF(OR(AE140="لم يدفع",B140=""),"",500)</f>
        <v/>
      </c>
      <c r="AH140" s="16">
        <f>IF(OR(AE140="لم يدفع",AE140="تأمين فقط",AE140="اشتراك 300",X140="OPOW",X140="DJS",X140="FCS",X140="RCS",X140="POLICE",B140=""),"",1000)</f>
        <v/>
      </c>
      <c r="AI140" s="17">
        <f>IF(AE140="لم يدفع","",IF(AF140="","",AF140+AG140))</f>
        <v/>
      </c>
      <c r="AJ140" s="18">
        <f>IF(B140="","",IF(AE140="لم يدفع","🔒 مجمدة",IF(Z140="","",IF(Z140&lt;TODAY(),"⛔ منتهي - يتطلب تجديد",IF(Z140-5&lt;=TODAY(),"⚠️ قريب الانتهاء","✅ ساري")))))</f>
        <v/>
      </c>
      <c r="AK140" s="13" t="n"/>
      <c r="AL140" s="13" t="n"/>
      <c r="AM140" s="13" t="n"/>
      <c r="AN140" s="13" t="n"/>
      <c r="AO140" s="14">
        <f>IF(B140="","",IF(AK140&lt;&gt;"","الأحد والأربعاء",IF(AL140&lt;&gt;"","الاثنين والخميس",IF(AM140&lt;&gt;"","الثلاثاء والجمعة",IF(AN140&lt;&gt;"","كل الأيام","")))))</f>
        <v/>
      </c>
      <c r="AP140" s="13" t="n"/>
      <c r="AQ140" s="13" t="n"/>
      <c r="AR140" s="13" t="n"/>
      <c r="AS140" s="13" t="n"/>
      <c r="AT140" s="14">
        <f>IF(B140="","",IF(AP140&lt;&gt;"","09:00-10:00",IF(AQ140&lt;&gt;"","10:00-11:00",IF(AR140&lt;&gt;"","19:00-20:00",IF(AS140&lt;&gt;"","20:00-21:00","")))))</f>
        <v/>
      </c>
      <c r="AU140" s="19">
        <f>IF(B140="","",COUNTA(التجديد!E140:E140))</f>
        <v/>
      </c>
    </row>
    <row r="141" ht="22" customHeight="1">
      <c r="A141" s="10">
        <f>IF(B141="","","RCS "&amp;TEXT(ROW()-2,"000"))</f>
        <v/>
      </c>
      <c r="B141" s="11" t="n"/>
      <c r="C141" s="11" t="n"/>
      <c r="D141" s="12" t="n"/>
      <c r="E141" s="13" t="n"/>
      <c r="F141" s="13" t="n"/>
      <c r="G141" s="14">
        <f>IF(B141="","",IF(E141&lt;&gt;"","ذكر",IF(F141&lt;&gt;"","أنثى","")))</f>
        <v/>
      </c>
      <c r="H141" s="14">
        <f>IF(D141="","",DATEDIF(D141,TODAY(),"Y"))</f>
        <v/>
      </c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4">
        <f>IF(B141="","",IF(I141&lt;&gt;"","A+",IF(J141&lt;&gt;"","A-",IF(K141&lt;&gt;"","B+",IF(L141&lt;&gt;"","B-",IF(M141&lt;&gt;"","O+",IF(N141&lt;&gt;"","O-",IF(O141&lt;&gt;"","AB+",IF(P141&lt;&gt;"","AB-",""))))))))</f>
        <v/>
      </c>
      <c r="R141" s="13" t="n"/>
      <c r="S141" s="13" t="n"/>
      <c r="T141" s="13" t="n"/>
      <c r="U141" s="13" t="n"/>
      <c r="V141" s="13" t="n"/>
      <c r="W141" s="13" t="n"/>
      <c r="X141" s="14">
        <f>IF(B141="","",IF(R141&lt;&gt;"","/",IF(S141&lt;&gt;"","OPOW",IF(T141&lt;&gt;"","DJS",IF(U141&lt;&gt;"","FCS",IF(V141&lt;&gt;"","RCS",IF(W141&lt;&gt;"","POLICE","")))))))</f>
        <v/>
      </c>
      <c r="Y141" s="12" t="n"/>
      <c r="Z141" s="15">
        <f>IF(Y141="","",Y141+30)</f>
        <v/>
      </c>
      <c r="AA141" s="13" t="n"/>
      <c r="AB141" s="13" t="n"/>
      <c r="AC141" s="13" t="n"/>
      <c r="AD141" s="13" t="n"/>
      <c r="AE141" s="14">
        <f>IF(B141="","",IF(AA141&lt;&gt;"","مدفوع",IF(AB141&lt;&gt;"","لم يدفع",IF(AC141&lt;&gt;"","تأمين فقط",IF(AD141&lt;&gt;"","اشتراك 300","")))))</f>
        <v/>
      </c>
      <c r="AF141" s="16">
        <f>IF(OR(AE141="لم يدفع",B141=""),"",IF(OR(AE141="تأمين فقط",X141="FCS",X141="RCS"),0,IF(OR(AE141="اشتراك 300",X141="POLICE",X141="OPOW",X141="DJS"),300,IF(H141&lt;14,1300,1500))))</f>
        <v/>
      </c>
      <c r="AG141" s="16">
        <f>IF(OR(AE141="لم يدفع",B141=""),"",500)</f>
        <v/>
      </c>
      <c r="AH141" s="16">
        <f>IF(OR(AE141="لم يدفع",AE141="تأمين فقط",AE141="اشتراك 300",X141="OPOW",X141="DJS",X141="FCS",X141="RCS",X141="POLICE",B141=""),"",1000)</f>
        <v/>
      </c>
      <c r="AI141" s="17">
        <f>IF(AE141="لم يدفع","",IF(AF141="","",AF141+AG141))</f>
        <v/>
      </c>
      <c r="AJ141" s="18">
        <f>IF(B141="","",IF(AE141="لم يدفع","🔒 مجمدة",IF(Z141="","",IF(Z141&lt;TODAY(),"⛔ منتهي - يتطلب تجديد",IF(Z141-5&lt;=TODAY(),"⚠️ قريب الانتهاء","✅ ساري")))))</f>
        <v/>
      </c>
      <c r="AK141" s="13" t="n"/>
      <c r="AL141" s="13" t="n"/>
      <c r="AM141" s="13" t="n"/>
      <c r="AN141" s="13" t="n"/>
      <c r="AO141" s="14">
        <f>IF(B141="","",IF(AK141&lt;&gt;"","الأحد والأربعاء",IF(AL141&lt;&gt;"","الاثنين والخميس",IF(AM141&lt;&gt;"","الثلاثاء والجمعة",IF(AN141&lt;&gt;"","كل الأيام","")))))</f>
        <v/>
      </c>
      <c r="AP141" s="13" t="n"/>
      <c r="AQ141" s="13" t="n"/>
      <c r="AR141" s="13" t="n"/>
      <c r="AS141" s="13" t="n"/>
      <c r="AT141" s="14">
        <f>IF(B141="","",IF(AP141&lt;&gt;"","09:00-10:00",IF(AQ141&lt;&gt;"","10:00-11:00",IF(AR141&lt;&gt;"","19:00-20:00",IF(AS141&lt;&gt;"","20:00-21:00","")))))</f>
        <v/>
      </c>
      <c r="AU141" s="19">
        <f>IF(B141="","",COUNTA(التجديد!E141:E141))</f>
        <v/>
      </c>
    </row>
    <row r="142" ht="22" customHeight="1">
      <c r="A142" s="10">
        <f>IF(B142="","","RCS "&amp;TEXT(ROW()-2,"000"))</f>
        <v/>
      </c>
      <c r="B142" s="11" t="n"/>
      <c r="C142" s="11" t="n"/>
      <c r="D142" s="12" t="n"/>
      <c r="E142" s="13" t="n"/>
      <c r="F142" s="13" t="n"/>
      <c r="G142" s="14">
        <f>IF(B142="","",IF(E142&lt;&gt;"","ذكر",IF(F142&lt;&gt;"","أنثى","")))</f>
        <v/>
      </c>
      <c r="H142" s="14">
        <f>IF(D142="","",DATEDIF(D142,TODAY(),"Y"))</f>
        <v/>
      </c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4">
        <f>IF(B142="","",IF(I142&lt;&gt;"","A+",IF(J142&lt;&gt;"","A-",IF(K142&lt;&gt;"","B+",IF(L142&lt;&gt;"","B-",IF(M142&lt;&gt;"","O+",IF(N142&lt;&gt;"","O-",IF(O142&lt;&gt;"","AB+",IF(P142&lt;&gt;"","AB-",""))))))))</f>
        <v/>
      </c>
      <c r="R142" s="13" t="n"/>
      <c r="S142" s="13" t="n"/>
      <c r="T142" s="13" t="n"/>
      <c r="U142" s="13" t="n"/>
      <c r="V142" s="13" t="n"/>
      <c r="W142" s="13" t="n"/>
      <c r="X142" s="14">
        <f>IF(B142="","",IF(R142&lt;&gt;"","/",IF(S142&lt;&gt;"","OPOW",IF(T142&lt;&gt;"","DJS",IF(U142&lt;&gt;"","FCS",IF(V142&lt;&gt;"","RCS",IF(W142&lt;&gt;"","POLICE","")))))))</f>
        <v/>
      </c>
      <c r="Y142" s="12" t="n"/>
      <c r="Z142" s="15">
        <f>IF(Y142="","",Y142+30)</f>
        <v/>
      </c>
      <c r="AA142" s="13" t="n"/>
      <c r="AB142" s="13" t="n"/>
      <c r="AC142" s="13" t="n"/>
      <c r="AD142" s="13" t="n"/>
      <c r="AE142" s="14">
        <f>IF(B142="","",IF(AA142&lt;&gt;"","مدفوع",IF(AB142&lt;&gt;"","لم يدفع",IF(AC142&lt;&gt;"","تأمين فقط",IF(AD142&lt;&gt;"","اشتراك 300","")))))</f>
        <v/>
      </c>
      <c r="AF142" s="16">
        <f>IF(OR(AE142="لم يدفع",B142=""),"",IF(OR(AE142="تأمين فقط",X142="FCS",X142="RCS"),0,IF(OR(AE142="اشتراك 300",X142="POLICE",X142="OPOW",X142="DJS"),300,IF(H142&lt;14,1300,1500))))</f>
        <v/>
      </c>
      <c r="AG142" s="16">
        <f>IF(OR(AE142="لم يدفع",B142=""),"",500)</f>
        <v/>
      </c>
      <c r="AH142" s="16">
        <f>IF(OR(AE142="لم يدفع",AE142="تأمين فقط",AE142="اشتراك 300",X142="OPOW",X142="DJS",X142="FCS",X142="RCS",X142="POLICE",B142=""),"",1000)</f>
        <v/>
      </c>
      <c r="AI142" s="17">
        <f>IF(AE142="لم يدفع","",IF(AF142="","",AF142+AG142))</f>
        <v/>
      </c>
      <c r="AJ142" s="18">
        <f>IF(B142="","",IF(AE142="لم يدفع","🔒 مجمدة",IF(Z142="","",IF(Z142&lt;TODAY(),"⛔ منتهي - يتطلب تجديد",IF(Z142-5&lt;=TODAY(),"⚠️ قريب الانتهاء","✅ ساري")))))</f>
        <v/>
      </c>
      <c r="AK142" s="13" t="n"/>
      <c r="AL142" s="13" t="n"/>
      <c r="AM142" s="13" t="n"/>
      <c r="AN142" s="13" t="n"/>
      <c r="AO142" s="14">
        <f>IF(B142="","",IF(AK142&lt;&gt;"","الأحد والأربعاء",IF(AL142&lt;&gt;"","الاثنين والخميس",IF(AM142&lt;&gt;"","الثلاثاء والجمعة",IF(AN142&lt;&gt;"","كل الأيام","")))))</f>
        <v/>
      </c>
      <c r="AP142" s="13" t="n"/>
      <c r="AQ142" s="13" t="n"/>
      <c r="AR142" s="13" t="n"/>
      <c r="AS142" s="13" t="n"/>
      <c r="AT142" s="14">
        <f>IF(B142="","",IF(AP142&lt;&gt;"","09:00-10:00",IF(AQ142&lt;&gt;"","10:00-11:00",IF(AR142&lt;&gt;"","19:00-20:00",IF(AS142&lt;&gt;"","20:00-21:00","")))))</f>
        <v/>
      </c>
      <c r="AU142" s="19">
        <f>IF(B142="","",COUNTA(التجديد!E142:E142))</f>
        <v/>
      </c>
    </row>
    <row r="143" ht="22" customHeight="1">
      <c r="A143" s="10">
        <f>IF(B143="","","RCS "&amp;TEXT(ROW()-2,"000"))</f>
        <v/>
      </c>
      <c r="B143" s="11" t="n"/>
      <c r="C143" s="11" t="n"/>
      <c r="D143" s="12" t="n"/>
      <c r="E143" s="13" t="n"/>
      <c r="F143" s="13" t="n"/>
      <c r="G143" s="14">
        <f>IF(B143="","",IF(E143&lt;&gt;"","ذكر",IF(F143&lt;&gt;"","أنثى","")))</f>
        <v/>
      </c>
      <c r="H143" s="14">
        <f>IF(D143="","",DATEDIF(D143,TODAY(),"Y"))</f>
        <v/>
      </c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4">
        <f>IF(B143="","",IF(I143&lt;&gt;"","A+",IF(J143&lt;&gt;"","A-",IF(K143&lt;&gt;"","B+",IF(L143&lt;&gt;"","B-",IF(M143&lt;&gt;"","O+",IF(N143&lt;&gt;"","O-",IF(O143&lt;&gt;"","AB+",IF(P143&lt;&gt;"","AB-",""))))))))</f>
        <v/>
      </c>
      <c r="R143" s="13" t="n"/>
      <c r="S143" s="13" t="n"/>
      <c r="T143" s="13" t="n"/>
      <c r="U143" s="13" t="n"/>
      <c r="V143" s="13" t="n"/>
      <c r="W143" s="13" t="n"/>
      <c r="X143" s="14">
        <f>IF(B143="","",IF(R143&lt;&gt;"","/",IF(S143&lt;&gt;"","OPOW",IF(T143&lt;&gt;"","DJS",IF(U143&lt;&gt;"","FCS",IF(V143&lt;&gt;"","RCS",IF(W143&lt;&gt;"","POLICE","")))))))</f>
        <v/>
      </c>
      <c r="Y143" s="12" t="n"/>
      <c r="Z143" s="15">
        <f>IF(Y143="","",Y143+30)</f>
        <v/>
      </c>
      <c r="AA143" s="13" t="n"/>
      <c r="AB143" s="13" t="n"/>
      <c r="AC143" s="13" t="n"/>
      <c r="AD143" s="13" t="n"/>
      <c r="AE143" s="14">
        <f>IF(B143="","",IF(AA143&lt;&gt;"","مدفوع",IF(AB143&lt;&gt;"","لم يدفع",IF(AC143&lt;&gt;"","تأمين فقط",IF(AD143&lt;&gt;"","اشتراك 300","")))))</f>
        <v/>
      </c>
      <c r="AF143" s="16">
        <f>IF(OR(AE143="لم يدفع",B143=""),"",IF(OR(AE143="تأمين فقط",X143="FCS",X143="RCS"),0,IF(OR(AE143="اشتراك 300",X143="POLICE",X143="OPOW",X143="DJS"),300,IF(H143&lt;14,1300,1500))))</f>
        <v/>
      </c>
      <c r="AG143" s="16">
        <f>IF(OR(AE143="لم يدفع",B143=""),"",500)</f>
        <v/>
      </c>
      <c r="AH143" s="16">
        <f>IF(OR(AE143="لم يدفع",AE143="تأمين فقط",AE143="اشتراك 300",X143="OPOW",X143="DJS",X143="FCS",X143="RCS",X143="POLICE",B143=""),"",1000)</f>
        <v/>
      </c>
      <c r="AI143" s="17">
        <f>IF(AE143="لم يدفع","",IF(AF143="","",AF143+AG143))</f>
        <v/>
      </c>
      <c r="AJ143" s="18">
        <f>IF(B143="","",IF(AE143="لم يدفع","🔒 مجمدة",IF(Z143="","",IF(Z143&lt;TODAY(),"⛔ منتهي - يتطلب تجديد",IF(Z143-5&lt;=TODAY(),"⚠️ قريب الانتهاء","✅ ساري")))))</f>
        <v/>
      </c>
      <c r="AK143" s="13" t="n"/>
      <c r="AL143" s="13" t="n"/>
      <c r="AM143" s="13" t="n"/>
      <c r="AN143" s="13" t="n"/>
      <c r="AO143" s="14">
        <f>IF(B143="","",IF(AK143&lt;&gt;"","الأحد والأربعاء",IF(AL143&lt;&gt;"","الاثنين والخميس",IF(AM143&lt;&gt;"","الثلاثاء والجمعة",IF(AN143&lt;&gt;"","كل الأيام","")))))</f>
        <v/>
      </c>
      <c r="AP143" s="13" t="n"/>
      <c r="AQ143" s="13" t="n"/>
      <c r="AR143" s="13" t="n"/>
      <c r="AS143" s="13" t="n"/>
      <c r="AT143" s="14">
        <f>IF(B143="","",IF(AP143&lt;&gt;"","09:00-10:00",IF(AQ143&lt;&gt;"","10:00-11:00",IF(AR143&lt;&gt;"","19:00-20:00",IF(AS143&lt;&gt;"","20:00-21:00","")))))</f>
        <v/>
      </c>
      <c r="AU143" s="19">
        <f>IF(B143="","",COUNTA(التجديد!E143:E143))</f>
        <v/>
      </c>
    </row>
    <row r="144" ht="22" customHeight="1">
      <c r="A144" s="10">
        <f>IF(B144="","","RCS "&amp;TEXT(ROW()-2,"000"))</f>
        <v/>
      </c>
      <c r="B144" s="11" t="n"/>
      <c r="C144" s="11" t="n"/>
      <c r="D144" s="12" t="n"/>
      <c r="E144" s="13" t="n"/>
      <c r="F144" s="13" t="n"/>
      <c r="G144" s="14">
        <f>IF(B144="","",IF(E144&lt;&gt;"","ذكر",IF(F144&lt;&gt;"","أنثى","")))</f>
        <v/>
      </c>
      <c r="H144" s="14">
        <f>IF(D144="","",DATEDIF(D144,TODAY(),"Y"))</f>
        <v/>
      </c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4">
        <f>IF(B144="","",IF(I144&lt;&gt;"","A+",IF(J144&lt;&gt;"","A-",IF(K144&lt;&gt;"","B+",IF(L144&lt;&gt;"","B-",IF(M144&lt;&gt;"","O+",IF(N144&lt;&gt;"","O-",IF(O144&lt;&gt;"","AB+",IF(P144&lt;&gt;"","AB-",""))))))))</f>
        <v/>
      </c>
      <c r="R144" s="13" t="n"/>
      <c r="S144" s="13" t="n"/>
      <c r="T144" s="13" t="n"/>
      <c r="U144" s="13" t="n"/>
      <c r="V144" s="13" t="n"/>
      <c r="W144" s="13" t="n"/>
      <c r="X144" s="14">
        <f>IF(B144="","",IF(R144&lt;&gt;"","/",IF(S144&lt;&gt;"","OPOW",IF(T144&lt;&gt;"","DJS",IF(U144&lt;&gt;"","FCS",IF(V144&lt;&gt;"","RCS",IF(W144&lt;&gt;"","POLICE","")))))))</f>
        <v/>
      </c>
      <c r="Y144" s="12" t="n"/>
      <c r="Z144" s="15">
        <f>IF(Y144="","",Y144+30)</f>
        <v/>
      </c>
      <c r="AA144" s="13" t="n"/>
      <c r="AB144" s="13" t="n"/>
      <c r="AC144" s="13" t="n"/>
      <c r="AD144" s="13" t="n"/>
      <c r="AE144" s="14">
        <f>IF(B144="","",IF(AA144&lt;&gt;"","مدفوع",IF(AB144&lt;&gt;"","لم يدفع",IF(AC144&lt;&gt;"","تأمين فقط",IF(AD144&lt;&gt;"","اشتراك 300","")))))</f>
        <v/>
      </c>
      <c r="AF144" s="16">
        <f>IF(OR(AE144="لم يدفع",B144=""),"",IF(OR(AE144="تأمين فقط",X144="FCS",X144="RCS"),0,IF(OR(AE144="اشتراك 300",X144="POLICE",X144="OPOW",X144="DJS"),300,IF(H144&lt;14,1300,1500))))</f>
        <v/>
      </c>
      <c r="AG144" s="16">
        <f>IF(OR(AE144="لم يدفع",B144=""),"",500)</f>
        <v/>
      </c>
      <c r="AH144" s="16">
        <f>IF(OR(AE144="لم يدفع",AE144="تأمين فقط",AE144="اشتراك 300",X144="OPOW",X144="DJS",X144="FCS",X144="RCS",X144="POLICE",B144=""),"",1000)</f>
        <v/>
      </c>
      <c r="AI144" s="17">
        <f>IF(AE144="لم يدفع","",IF(AF144="","",AF144+AG144))</f>
        <v/>
      </c>
      <c r="AJ144" s="18">
        <f>IF(B144="","",IF(AE144="لم يدفع","🔒 مجمدة",IF(Z144="","",IF(Z144&lt;TODAY(),"⛔ منتهي - يتطلب تجديد",IF(Z144-5&lt;=TODAY(),"⚠️ قريب الانتهاء","✅ ساري")))))</f>
        <v/>
      </c>
      <c r="AK144" s="13" t="n"/>
      <c r="AL144" s="13" t="n"/>
      <c r="AM144" s="13" t="n"/>
      <c r="AN144" s="13" t="n"/>
      <c r="AO144" s="14">
        <f>IF(B144="","",IF(AK144&lt;&gt;"","الأحد والأربعاء",IF(AL144&lt;&gt;"","الاثنين والخميس",IF(AM144&lt;&gt;"","الثلاثاء والجمعة",IF(AN144&lt;&gt;"","كل الأيام","")))))</f>
        <v/>
      </c>
      <c r="AP144" s="13" t="n"/>
      <c r="AQ144" s="13" t="n"/>
      <c r="AR144" s="13" t="n"/>
      <c r="AS144" s="13" t="n"/>
      <c r="AT144" s="14">
        <f>IF(B144="","",IF(AP144&lt;&gt;"","09:00-10:00",IF(AQ144&lt;&gt;"","10:00-11:00",IF(AR144&lt;&gt;"","19:00-20:00",IF(AS144&lt;&gt;"","20:00-21:00","")))))</f>
        <v/>
      </c>
      <c r="AU144" s="19">
        <f>IF(B144="","",COUNTA(التجديد!E144:E144))</f>
        <v/>
      </c>
    </row>
    <row r="145" ht="22" customHeight="1">
      <c r="A145" s="10">
        <f>IF(B145="","","RCS "&amp;TEXT(ROW()-2,"000"))</f>
        <v/>
      </c>
      <c r="B145" s="11" t="n"/>
      <c r="C145" s="11" t="n"/>
      <c r="D145" s="12" t="n"/>
      <c r="E145" s="13" t="n"/>
      <c r="F145" s="13" t="n"/>
      <c r="G145" s="14">
        <f>IF(B145="","",IF(E145&lt;&gt;"","ذكر",IF(F145&lt;&gt;"","أنثى","")))</f>
        <v/>
      </c>
      <c r="H145" s="14">
        <f>IF(D145="","",DATEDIF(D145,TODAY(),"Y"))</f>
        <v/>
      </c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4">
        <f>IF(B145="","",IF(I145&lt;&gt;"","A+",IF(J145&lt;&gt;"","A-",IF(K145&lt;&gt;"","B+",IF(L145&lt;&gt;"","B-",IF(M145&lt;&gt;"","O+",IF(N145&lt;&gt;"","O-",IF(O145&lt;&gt;"","AB+",IF(P145&lt;&gt;"","AB-",""))))))))</f>
        <v/>
      </c>
      <c r="R145" s="13" t="n"/>
      <c r="S145" s="13" t="n"/>
      <c r="T145" s="13" t="n"/>
      <c r="U145" s="13" t="n"/>
      <c r="V145" s="13" t="n"/>
      <c r="W145" s="13" t="n"/>
      <c r="X145" s="14">
        <f>IF(B145="","",IF(R145&lt;&gt;"","/",IF(S145&lt;&gt;"","OPOW",IF(T145&lt;&gt;"","DJS",IF(U145&lt;&gt;"","FCS",IF(V145&lt;&gt;"","RCS",IF(W145&lt;&gt;"","POLICE","")))))))</f>
        <v/>
      </c>
      <c r="Y145" s="12" t="n"/>
      <c r="Z145" s="15">
        <f>IF(Y145="","",Y145+30)</f>
        <v/>
      </c>
      <c r="AA145" s="13" t="n"/>
      <c r="AB145" s="13" t="n"/>
      <c r="AC145" s="13" t="n"/>
      <c r="AD145" s="13" t="n"/>
      <c r="AE145" s="14">
        <f>IF(B145="","",IF(AA145&lt;&gt;"","مدفوع",IF(AB145&lt;&gt;"","لم يدفع",IF(AC145&lt;&gt;"","تأمين فقط",IF(AD145&lt;&gt;"","اشتراك 300","")))))</f>
        <v/>
      </c>
      <c r="AF145" s="16">
        <f>IF(OR(AE145="لم يدفع",B145=""),"",IF(OR(AE145="تأمين فقط",X145="FCS",X145="RCS"),0,IF(OR(AE145="اشتراك 300",X145="POLICE",X145="OPOW",X145="DJS"),300,IF(H145&lt;14,1300,1500))))</f>
        <v/>
      </c>
      <c r="AG145" s="16">
        <f>IF(OR(AE145="لم يدفع",B145=""),"",500)</f>
        <v/>
      </c>
      <c r="AH145" s="16">
        <f>IF(OR(AE145="لم يدفع",AE145="تأمين فقط",AE145="اشتراك 300",X145="OPOW",X145="DJS",X145="FCS",X145="RCS",X145="POLICE",B145=""),"",1000)</f>
        <v/>
      </c>
      <c r="AI145" s="17">
        <f>IF(AE145="لم يدفع","",IF(AF145="","",AF145+AG145))</f>
        <v/>
      </c>
      <c r="AJ145" s="18">
        <f>IF(B145="","",IF(AE145="لم يدفع","🔒 مجمدة",IF(Z145="","",IF(Z145&lt;TODAY(),"⛔ منتهي - يتطلب تجديد",IF(Z145-5&lt;=TODAY(),"⚠️ قريب الانتهاء","✅ ساري")))))</f>
        <v/>
      </c>
      <c r="AK145" s="13" t="n"/>
      <c r="AL145" s="13" t="n"/>
      <c r="AM145" s="13" t="n"/>
      <c r="AN145" s="13" t="n"/>
      <c r="AO145" s="14">
        <f>IF(B145="","",IF(AK145&lt;&gt;"","الأحد والأربعاء",IF(AL145&lt;&gt;"","الاثنين والخميس",IF(AM145&lt;&gt;"","الثلاثاء والجمعة",IF(AN145&lt;&gt;"","كل الأيام","")))))</f>
        <v/>
      </c>
      <c r="AP145" s="13" t="n"/>
      <c r="AQ145" s="13" t="n"/>
      <c r="AR145" s="13" t="n"/>
      <c r="AS145" s="13" t="n"/>
      <c r="AT145" s="14">
        <f>IF(B145="","",IF(AP145&lt;&gt;"","09:00-10:00",IF(AQ145&lt;&gt;"","10:00-11:00",IF(AR145&lt;&gt;"","19:00-20:00",IF(AS145&lt;&gt;"","20:00-21:00","")))))</f>
        <v/>
      </c>
      <c r="AU145" s="19">
        <f>IF(B145="","",COUNTA(التجديد!E145:E145))</f>
        <v/>
      </c>
    </row>
    <row r="146" ht="22" customHeight="1">
      <c r="A146" s="10">
        <f>IF(B146="","","RCS "&amp;TEXT(ROW()-2,"000"))</f>
        <v/>
      </c>
      <c r="B146" s="11" t="n"/>
      <c r="C146" s="11" t="n"/>
      <c r="D146" s="12" t="n"/>
      <c r="E146" s="13" t="n"/>
      <c r="F146" s="13" t="n"/>
      <c r="G146" s="14">
        <f>IF(B146="","",IF(E146&lt;&gt;"","ذكر",IF(F146&lt;&gt;"","أنثى","")))</f>
        <v/>
      </c>
      <c r="H146" s="14">
        <f>IF(D146="","",DATEDIF(D146,TODAY(),"Y"))</f>
        <v/>
      </c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4">
        <f>IF(B146="","",IF(I146&lt;&gt;"","A+",IF(J146&lt;&gt;"","A-",IF(K146&lt;&gt;"","B+",IF(L146&lt;&gt;"","B-",IF(M146&lt;&gt;"","O+",IF(N146&lt;&gt;"","O-",IF(O146&lt;&gt;"","AB+",IF(P146&lt;&gt;"","AB-",""))))))))</f>
        <v/>
      </c>
      <c r="R146" s="13" t="n"/>
      <c r="S146" s="13" t="n"/>
      <c r="T146" s="13" t="n"/>
      <c r="U146" s="13" t="n"/>
      <c r="V146" s="13" t="n"/>
      <c r="W146" s="13" t="n"/>
      <c r="X146" s="14">
        <f>IF(B146="","",IF(R146&lt;&gt;"","/",IF(S146&lt;&gt;"","OPOW",IF(T146&lt;&gt;"","DJS",IF(U146&lt;&gt;"","FCS",IF(V146&lt;&gt;"","RCS",IF(W146&lt;&gt;"","POLICE","")))))))</f>
        <v/>
      </c>
      <c r="Y146" s="12" t="n"/>
      <c r="Z146" s="15">
        <f>IF(Y146="","",Y146+30)</f>
        <v/>
      </c>
      <c r="AA146" s="13" t="n"/>
      <c r="AB146" s="13" t="n"/>
      <c r="AC146" s="13" t="n"/>
      <c r="AD146" s="13" t="n"/>
      <c r="AE146" s="14">
        <f>IF(B146="","",IF(AA146&lt;&gt;"","مدفوع",IF(AB146&lt;&gt;"","لم يدفع",IF(AC146&lt;&gt;"","تأمين فقط",IF(AD146&lt;&gt;"","اشتراك 300","")))))</f>
        <v/>
      </c>
      <c r="AF146" s="16">
        <f>IF(OR(AE146="لم يدفع",B146=""),"",IF(OR(AE146="تأمين فقط",X146="FCS",X146="RCS"),0,IF(OR(AE146="اشتراك 300",X146="POLICE",X146="OPOW",X146="DJS"),300,IF(H146&lt;14,1300,1500))))</f>
        <v/>
      </c>
      <c r="AG146" s="16">
        <f>IF(OR(AE146="لم يدفع",B146=""),"",500)</f>
        <v/>
      </c>
      <c r="AH146" s="16">
        <f>IF(OR(AE146="لم يدفع",AE146="تأمين فقط",AE146="اشتراك 300",X146="OPOW",X146="DJS",X146="FCS",X146="RCS",X146="POLICE",B146=""),"",1000)</f>
        <v/>
      </c>
      <c r="AI146" s="17">
        <f>IF(AE146="لم يدفع","",IF(AF146="","",AF146+AG146))</f>
        <v/>
      </c>
      <c r="AJ146" s="18">
        <f>IF(B146="","",IF(AE146="لم يدفع","🔒 مجمدة",IF(Z146="","",IF(Z146&lt;TODAY(),"⛔ منتهي - يتطلب تجديد",IF(Z146-5&lt;=TODAY(),"⚠️ قريب الانتهاء","✅ ساري")))))</f>
        <v/>
      </c>
      <c r="AK146" s="13" t="n"/>
      <c r="AL146" s="13" t="n"/>
      <c r="AM146" s="13" t="n"/>
      <c r="AN146" s="13" t="n"/>
      <c r="AO146" s="14">
        <f>IF(B146="","",IF(AK146&lt;&gt;"","الأحد والأربعاء",IF(AL146&lt;&gt;"","الاثنين والخميس",IF(AM146&lt;&gt;"","الثلاثاء والجمعة",IF(AN146&lt;&gt;"","كل الأيام","")))))</f>
        <v/>
      </c>
      <c r="AP146" s="13" t="n"/>
      <c r="AQ146" s="13" t="n"/>
      <c r="AR146" s="13" t="n"/>
      <c r="AS146" s="13" t="n"/>
      <c r="AT146" s="14">
        <f>IF(B146="","",IF(AP146&lt;&gt;"","09:00-10:00",IF(AQ146&lt;&gt;"","10:00-11:00",IF(AR146&lt;&gt;"","19:00-20:00",IF(AS146&lt;&gt;"","20:00-21:00","")))))</f>
        <v/>
      </c>
      <c r="AU146" s="19">
        <f>IF(B146="","",COUNTA(التجديد!E146:E146))</f>
        <v/>
      </c>
    </row>
    <row r="147" ht="22" customHeight="1">
      <c r="A147" s="10">
        <f>IF(B147="","","RCS "&amp;TEXT(ROW()-2,"000"))</f>
        <v/>
      </c>
      <c r="B147" s="11" t="n"/>
      <c r="C147" s="11" t="n"/>
      <c r="D147" s="12" t="n"/>
      <c r="E147" s="13" t="n"/>
      <c r="F147" s="13" t="n"/>
      <c r="G147" s="14">
        <f>IF(B147="","",IF(E147&lt;&gt;"","ذكر",IF(F147&lt;&gt;"","أنثى","")))</f>
        <v/>
      </c>
      <c r="H147" s="14">
        <f>IF(D147="","",DATEDIF(D147,TODAY(),"Y"))</f>
        <v/>
      </c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4">
        <f>IF(B147="","",IF(I147&lt;&gt;"","A+",IF(J147&lt;&gt;"","A-",IF(K147&lt;&gt;"","B+",IF(L147&lt;&gt;"","B-",IF(M147&lt;&gt;"","O+",IF(N147&lt;&gt;"","O-",IF(O147&lt;&gt;"","AB+",IF(P147&lt;&gt;"","AB-",""))))))))</f>
        <v/>
      </c>
      <c r="R147" s="13" t="n"/>
      <c r="S147" s="13" t="n"/>
      <c r="T147" s="13" t="n"/>
      <c r="U147" s="13" t="n"/>
      <c r="V147" s="13" t="n"/>
      <c r="W147" s="13" t="n"/>
      <c r="X147" s="14">
        <f>IF(B147="","",IF(R147&lt;&gt;"","/",IF(S147&lt;&gt;"","OPOW",IF(T147&lt;&gt;"","DJS",IF(U147&lt;&gt;"","FCS",IF(V147&lt;&gt;"","RCS",IF(W147&lt;&gt;"","POLICE","")))))))</f>
        <v/>
      </c>
      <c r="Y147" s="12" t="n"/>
      <c r="Z147" s="15">
        <f>IF(Y147="","",Y147+30)</f>
        <v/>
      </c>
      <c r="AA147" s="13" t="n"/>
      <c r="AB147" s="13" t="n"/>
      <c r="AC147" s="13" t="n"/>
      <c r="AD147" s="13" t="n"/>
      <c r="AE147" s="14">
        <f>IF(B147="","",IF(AA147&lt;&gt;"","مدفوع",IF(AB147&lt;&gt;"","لم يدفع",IF(AC147&lt;&gt;"","تأمين فقط",IF(AD147&lt;&gt;"","اشتراك 300","")))))</f>
        <v/>
      </c>
      <c r="AF147" s="16">
        <f>IF(OR(AE147="لم يدفع",B147=""),"",IF(OR(AE147="تأمين فقط",X147="FCS",X147="RCS"),0,IF(OR(AE147="اشتراك 300",X147="POLICE",X147="OPOW",X147="DJS"),300,IF(H147&lt;14,1300,1500))))</f>
        <v/>
      </c>
      <c r="AG147" s="16">
        <f>IF(OR(AE147="لم يدفع",B147=""),"",500)</f>
        <v/>
      </c>
      <c r="AH147" s="16">
        <f>IF(OR(AE147="لم يدفع",AE147="تأمين فقط",AE147="اشتراك 300",X147="OPOW",X147="DJS",X147="FCS",X147="RCS",X147="POLICE",B147=""),"",1000)</f>
        <v/>
      </c>
      <c r="AI147" s="17">
        <f>IF(AE147="لم يدفع","",IF(AF147="","",AF147+AG147))</f>
        <v/>
      </c>
      <c r="AJ147" s="18">
        <f>IF(B147="","",IF(AE147="لم يدفع","🔒 مجمدة",IF(Z147="","",IF(Z147&lt;TODAY(),"⛔ منتهي - يتطلب تجديد",IF(Z147-5&lt;=TODAY(),"⚠️ قريب الانتهاء","✅ ساري")))))</f>
        <v/>
      </c>
      <c r="AK147" s="13" t="n"/>
      <c r="AL147" s="13" t="n"/>
      <c r="AM147" s="13" t="n"/>
      <c r="AN147" s="13" t="n"/>
      <c r="AO147" s="14">
        <f>IF(B147="","",IF(AK147&lt;&gt;"","الأحد والأربعاء",IF(AL147&lt;&gt;"","الاثنين والخميس",IF(AM147&lt;&gt;"","الثلاثاء والجمعة",IF(AN147&lt;&gt;"","كل الأيام","")))))</f>
        <v/>
      </c>
      <c r="AP147" s="13" t="n"/>
      <c r="AQ147" s="13" t="n"/>
      <c r="AR147" s="13" t="n"/>
      <c r="AS147" s="13" t="n"/>
      <c r="AT147" s="14">
        <f>IF(B147="","",IF(AP147&lt;&gt;"","09:00-10:00",IF(AQ147&lt;&gt;"","10:00-11:00",IF(AR147&lt;&gt;"","19:00-20:00",IF(AS147&lt;&gt;"","20:00-21:00","")))))</f>
        <v/>
      </c>
      <c r="AU147" s="19">
        <f>IF(B147="","",COUNTA(التجديد!E147:E147))</f>
        <v/>
      </c>
    </row>
    <row r="148" ht="22" customHeight="1">
      <c r="A148" s="10">
        <f>IF(B148="","","RCS "&amp;TEXT(ROW()-2,"000"))</f>
        <v/>
      </c>
      <c r="B148" s="11" t="n"/>
      <c r="C148" s="11" t="n"/>
      <c r="D148" s="12" t="n"/>
      <c r="E148" s="13" t="n"/>
      <c r="F148" s="13" t="n"/>
      <c r="G148" s="14">
        <f>IF(B148="","",IF(E148&lt;&gt;"","ذكر",IF(F148&lt;&gt;"","أنثى","")))</f>
        <v/>
      </c>
      <c r="H148" s="14">
        <f>IF(D148="","",DATEDIF(D148,TODAY(),"Y"))</f>
        <v/>
      </c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4">
        <f>IF(B148="","",IF(I148&lt;&gt;"","A+",IF(J148&lt;&gt;"","A-",IF(K148&lt;&gt;"","B+",IF(L148&lt;&gt;"","B-",IF(M148&lt;&gt;"","O+",IF(N148&lt;&gt;"","O-",IF(O148&lt;&gt;"","AB+",IF(P148&lt;&gt;"","AB-",""))))))))</f>
        <v/>
      </c>
      <c r="R148" s="13" t="n"/>
      <c r="S148" s="13" t="n"/>
      <c r="T148" s="13" t="n"/>
      <c r="U148" s="13" t="n"/>
      <c r="V148" s="13" t="n"/>
      <c r="W148" s="13" t="n"/>
      <c r="X148" s="14">
        <f>IF(B148="","",IF(R148&lt;&gt;"","/",IF(S148&lt;&gt;"","OPOW",IF(T148&lt;&gt;"","DJS",IF(U148&lt;&gt;"","FCS",IF(V148&lt;&gt;"","RCS",IF(W148&lt;&gt;"","POLICE","")))))))</f>
        <v/>
      </c>
      <c r="Y148" s="12" t="n"/>
      <c r="Z148" s="15">
        <f>IF(Y148="","",Y148+30)</f>
        <v/>
      </c>
      <c r="AA148" s="13" t="n"/>
      <c r="AB148" s="13" t="n"/>
      <c r="AC148" s="13" t="n"/>
      <c r="AD148" s="13" t="n"/>
      <c r="AE148" s="14">
        <f>IF(B148="","",IF(AA148&lt;&gt;"","مدفوع",IF(AB148&lt;&gt;"","لم يدفع",IF(AC148&lt;&gt;"","تأمين فقط",IF(AD148&lt;&gt;"","اشتراك 300","")))))</f>
        <v/>
      </c>
      <c r="AF148" s="16">
        <f>IF(OR(AE148="لم يدفع",B148=""),"",IF(OR(AE148="تأمين فقط",X148="FCS",X148="RCS"),0,IF(OR(AE148="اشتراك 300",X148="POLICE",X148="OPOW",X148="DJS"),300,IF(H148&lt;14,1300,1500))))</f>
        <v/>
      </c>
      <c r="AG148" s="16">
        <f>IF(OR(AE148="لم يدفع",B148=""),"",500)</f>
        <v/>
      </c>
      <c r="AH148" s="16">
        <f>IF(OR(AE148="لم يدفع",AE148="تأمين فقط",AE148="اشتراك 300",X148="OPOW",X148="DJS",X148="FCS",X148="RCS",X148="POLICE",B148=""),"",1000)</f>
        <v/>
      </c>
      <c r="AI148" s="17">
        <f>IF(AE148="لم يدفع","",IF(AF148="","",AF148+AG148))</f>
        <v/>
      </c>
      <c r="AJ148" s="18">
        <f>IF(B148="","",IF(AE148="لم يدفع","🔒 مجمدة",IF(Z148="","",IF(Z148&lt;TODAY(),"⛔ منتهي - يتطلب تجديد",IF(Z148-5&lt;=TODAY(),"⚠️ قريب الانتهاء","✅ ساري")))))</f>
        <v/>
      </c>
      <c r="AK148" s="13" t="n"/>
      <c r="AL148" s="13" t="n"/>
      <c r="AM148" s="13" t="n"/>
      <c r="AN148" s="13" t="n"/>
      <c r="AO148" s="14">
        <f>IF(B148="","",IF(AK148&lt;&gt;"","الأحد والأربعاء",IF(AL148&lt;&gt;"","الاثنين والخميس",IF(AM148&lt;&gt;"","الثلاثاء والجمعة",IF(AN148&lt;&gt;"","كل الأيام","")))))</f>
        <v/>
      </c>
      <c r="AP148" s="13" t="n"/>
      <c r="AQ148" s="13" t="n"/>
      <c r="AR148" s="13" t="n"/>
      <c r="AS148" s="13" t="n"/>
      <c r="AT148" s="14">
        <f>IF(B148="","",IF(AP148&lt;&gt;"","09:00-10:00",IF(AQ148&lt;&gt;"","10:00-11:00",IF(AR148&lt;&gt;"","19:00-20:00",IF(AS148&lt;&gt;"","20:00-21:00","")))))</f>
        <v/>
      </c>
      <c r="AU148" s="19">
        <f>IF(B148="","",COUNTA(التجديد!E148:E148))</f>
        <v/>
      </c>
    </row>
    <row r="149" ht="22" customHeight="1">
      <c r="A149" s="10">
        <f>IF(B149="","","RCS "&amp;TEXT(ROW()-2,"000"))</f>
        <v/>
      </c>
      <c r="B149" s="11" t="n"/>
      <c r="C149" s="11" t="n"/>
      <c r="D149" s="12" t="n"/>
      <c r="E149" s="13" t="n"/>
      <c r="F149" s="13" t="n"/>
      <c r="G149" s="14">
        <f>IF(B149="","",IF(E149&lt;&gt;"","ذكر",IF(F149&lt;&gt;"","أنثى","")))</f>
        <v/>
      </c>
      <c r="H149" s="14">
        <f>IF(D149="","",DATEDIF(D149,TODAY(),"Y"))</f>
        <v/>
      </c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4">
        <f>IF(B149="","",IF(I149&lt;&gt;"","A+",IF(J149&lt;&gt;"","A-",IF(K149&lt;&gt;"","B+",IF(L149&lt;&gt;"","B-",IF(M149&lt;&gt;"","O+",IF(N149&lt;&gt;"","O-",IF(O149&lt;&gt;"","AB+",IF(P149&lt;&gt;"","AB-",""))))))))</f>
        <v/>
      </c>
      <c r="R149" s="13" t="n"/>
      <c r="S149" s="13" t="n"/>
      <c r="T149" s="13" t="n"/>
      <c r="U149" s="13" t="n"/>
      <c r="V149" s="13" t="n"/>
      <c r="W149" s="13" t="n"/>
      <c r="X149" s="14">
        <f>IF(B149="","",IF(R149&lt;&gt;"","/",IF(S149&lt;&gt;"","OPOW",IF(T149&lt;&gt;"","DJS",IF(U149&lt;&gt;"","FCS",IF(V149&lt;&gt;"","RCS",IF(W149&lt;&gt;"","POLICE","")))))))</f>
        <v/>
      </c>
      <c r="Y149" s="12" t="n"/>
      <c r="Z149" s="15">
        <f>IF(Y149="","",Y149+30)</f>
        <v/>
      </c>
      <c r="AA149" s="13" t="n"/>
      <c r="AB149" s="13" t="n"/>
      <c r="AC149" s="13" t="n"/>
      <c r="AD149" s="13" t="n"/>
      <c r="AE149" s="14">
        <f>IF(B149="","",IF(AA149&lt;&gt;"","مدفوع",IF(AB149&lt;&gt;"","لم يدفع",IF(AC149&lt;&gt;"","تأمين فقط",IF(AD149&lt;&gt;"","اشتراك 300","")))))</f>
        <v/>
      </c>
      <c r="AF149" s="16">
        <f>IF(OR(AE149="لم يدفع",B149=""),"",IF(OR(AE149="تأمين فقط",X149="FCS",X149="RCS"),0,IF(OR(AE149="اشتراك 300",X149="POLICE",X149="OPOW",X149="DJS"),300,IF(H149&lt;14,1300,1500))))</f>
        <v/>
      </c>
      <c r="AG149" s="16">
        <f>IF(OR(AE149="لم يدفع",B149=""),"",500)</f>
        <v/>
      </c>
      <c r="AH149" s="16">
        <f>IF(OR(AE149="لم يدفع",AE149="تأمين فقط",AE149="اشتراك 300",X149="OPOW",X149="DJS",X149="FCS",X149="RCS",X149="POLICE",B149=""),"",1000)</f>
        <v/>
      </c>
      <c r="AI149" s="17">
        <f>IF(AE149="لم يدفع","",IF(AF149="","",AF149+AG149))</f>
        <v/>
      </c>
      <c r="AJ149" s="18">
        <f>IF(B149="","",IF(AE149="لم يدفع","🔒 مجمدة",IF(Z149="","",IF(Z149&lt;TODAY(),"⛔ منتهي - يتطلب تجديد",IF(Z149-5&lt;=TODAY(),"⚠️ قريب الانتهاء","✅ ساري")))))</f>
        <v/>
      </c>
      <c r="AK149" s="13" t="n"/>
      <c r="AL149" s="13" t="n"/>
      <c r="AM149" s="13" t="n"/>
      <c r="AN149" s="13" t="n"/>
      <c r="AO149" s="14">
        <f>IF(B149="","",IF(AK149&lt;&gt;"","الأحد والأربعاء",IF(AL149&lt;&gt;"","الاثنين والخميس",IF(AM149&lt;&gt;"","الثلاثاء والجمعة",IF(AN149&lt;&gt;"","كل الأيام","")))))</f>
        <v/>
      </c>
      <c r="AP149" s="13" t="n"/>
      <c r="AQ149" s="13" t="n"/>
      <c r="AR149" s="13" t="n"/>
      <c r="AS149" s="13" t="n"/>
      <c r="AT149" s="14">
        <f>IF(B149="","",IF(AP149&lt;&gt;"","09:00-10:00",IF(AQ149&lt;&gt;"","10:00-11:00",IF(AR149&lt;&gt;"","19:00-20:00",IF(AS149&lt;&gt;"","20:00-21:00","")))))</f>
        <v/>
      </c>
      <c r="AU149" s="19">
        <f>IF(B149="","",COUNTA(التجديد!E149:E149))</f>
        <v/>
      </c>
    </row>
    <row r="150" ht="22" customHeight="1">
      <c r="A150" s="10">
        <f>IF(B150="","","RCS "&amp;TEXT(ROW()-2,"000"))</f>
        <v/>
      </c>
      <c r="B150" s="11" t="n"/>
      <c r="C150" s="11" t="n"/>
      <c r="D150" s="12" t="n"/>
      <c r="E150" s="13" t="n"/>
      <c r="F150" s="13" t="n"/>
      <c r="G150" s="14">
        <f>IF(B150="","",IF(E150&lt;&gt;"","ذكر",IF(F150&lt;&gt;"","أنثى","")))</f>
        <v/>
      </c>
      <c r="H150" s="14">
        <f>IF(D150="","",DATEDIF(D150,TODAY(),"Y"))</f>
        <v/>
      </c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4">
        <f>IF(B150="","",IF(I150&lt;&gt;"","A+",IF(J150&lt;&gt;"","A-",IF(K150&lt;&gt;"","B+",IF(L150&lt;&gt;"","B-",IF(M150&lt;&gt;"","O+",IF(N150&lt;&gt;"","O-",IF(O150&lt;&gt;"","AB+",IF(P150&lt;&gt;"","AB-",""))))))))</f>
        <v/>
      </c>
      <c r="R150" s="13" t="n"/>
      <c r="S150" s="13" t="n"/>
      <c r="T150" s="13" t="n"/>
      <c r="U150" s="13" t="n"/>
      <c r="V150" s="13" t="n"/>
      <c r="W150" s="13" t="n"/>
      <c r="X150" s="14">
        <f>IF(B150="","",IF(R150&lt;&gt;"","/",IF(S150&lt;&gt;"","OPOW",IF(T150&lt;&gt;"","DJS",IF(U150&lt;&gt;"","FCS",IF(V150&lt;&gt;"","RCS",IF(W150&lt;&gt;"","POLICE","")))))))</f>
        <v/>
      </c>
      <c r="Y150" s="12" t="n"/>
      <c r="Z150" s="15">
        <f>IF(Y150="","",Y150+30)</f>
        <v/>
      </c>
      <c r="AA150" s="13" t="n"/>
      <c r="AB150" s="13" t="n"/>
      <c r="AC150" s="13" t="n"/>
      <c r="AD150" s="13" t="n"/>
      <c r="AE150" s="14">
        <f>IF(B150="","",IF(AA150&lt;&gt;"","مدفوع",IF(AB150&lt;&gt;"","لم يدفع",IF(AC150&lt;&gt;"","تأمين فقط",IF(AD150&lt;&gt;"","اشتراك 300","")))))</f>
        <v/>
      </c>
      <c r="AF150" s="16">
        <f>IF(OR(AE150="لم يدفع",B150=""),"",IF(OR(AE150="تأمين فقط",X150="FCS",X150="RCS"),0,IF(OR(AE150="اشتراك 300",X150="POLICE",X150="OPOW",X150="DJS"),300,IF(H150&lt;14,1300,1500))))</f>
        <v/>
      </c>
      <c r="AG150" s="16">
        <f>IF(OR(AE150="لم يدفع",B150=""),"",500)</f>
        <v/>
      </c>
      <c r="AH150" s="16">
        <f>IF(OR(AE150="لم يدفع",AE150="تأمين فقط",AE150="اشتراك 300",X150="OPOW",X150="DJS",X150="FCS",X150="RCS",X150="POLICE",B150=""),"",1000)</f>
        <v/>
      </c>
      <c r="AI150" s="17">
        <f>IF(AE150="لم يدفع","",IF(AF150="","",AF150+AG150))</f>
        <v/>
      </c>
      <c r="AJ150" s="18">
        <f>IF(B150="","",IF(AE150="لم يدفع","🔒 مجمدة",IF(Z150="","",IF(Z150&lt;TODAY(),"⛔ منتهي - يتطلب تجديد",IF(Z150-5&lt;=TODAY(),"⚠️ قريب الانتهاء","✅ ساري")))))</f>
        <v/>
      </c>
      <c r="AK150" s="13" t="n"/>
      <c r="AL150" s="13" t="n"/>
      <c r="AM150" s="13" t="n"/>
      <c r="AN150" s="13" t="n"/>
      <c r="AO150" s="14">
        <f>IF(B150="","",IF(AK150&lt;&gt;"","الأحد والأربعاء",IF(AL150&lt;&gt;"","الاثنين والخميس",IF(AM150&lt;&gt;"","الثلاثاء والجمعة",IF(AN150&lt;&gt;"","كل الأيام","")))))</f>
        <v/>
      </c>
      <c r="AP150" s="13" t="n"/>
      <c r="AQ150" s="13" t="n"/>
      <c r="AR150" s="13" t="n"/>
      <c r="AS150" s="13" t="n"/>
      <c r="AT150" s="14">
        <f>IF(B150="","",IF(AP150&lt;&gt;"","09:00-10:00",IF(AQ150&lt;&gt;"","10:00-11:00",IF(AR150&lt;&gt;"","19:00-20:00",IF(AS150&lt;&gt;"","20:00-21:00","")))))</f>
        <v/>
      </c>
      <c r="AU150" s="19">
        <f>IF(B150="","",COUNTA(التجديد!E150:E150))</f>
        <v/>
      </c>
    </row>
    <row r="151" ht="22" customHeight="1">
      <c r="A151" s="10">
        <f>IF(B151="","","RCS "&amp;TEXT(ROW()-2,"000"))</f>
        <v/>
      </c>
      <c r="B151" s="11" t="n"/>
      <c r="C151" s="11" t="n"/>
      <c r="D151" s="12" t="n"/>
      <c r="E151" s="13" t="n"/>
      <c r="F151" s="13" t="n"/>
      <c r="G151" s="14">
        <f>IF(B151="","",IF(E151&lt;&gt;"","ذكر",IF(F151&lt;&gt;"","أنثى","")))</f>
        <v/>
      </c>
      <c r="H151" s="14">
        <f>IF(D151="","",DATEDIF(D151,TODAY(),"Y"))</f>
        <v/>
      </c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4">
        <f>IF(B151="","",IF(I151&lt;&gt;"","A+",IF(J151&lt;&gt;"","A-",IF(K151&lt;&gt;"","B+",IF(L151&lt;&gt;"","B-",IF(M151&lt;&gt;"","O+",IF(N151&lt;&gt;"","O-",IF(O151&lt;&gt;"","AB+",IF(P151&lt;&gt;"","AB-",""))))))))</f>
        <v/>
      </c>
      <c r="R151" s="13" t="n"/>
      <c r="S151" s="13" t="n"/>
      <c r="T151" s="13" t="n"/>
      <c r="U151" s="13" t="n"/>
      <c r="V151" s="13" t="n"/>
      <c r="W151" s="13" t="n"/>
      <c r="X151" s="14">
        <f>IF(B151="","",IF(R151&lt;&gt;"","/",IF(S151&lt;&gt;"","OPOW",IF(T151&lt;&gt;"","DJS",IF(U151&lt;&gt;"","FCS",IF(V151&lt;&gt;"","RCS",IF(W151&lt;&gt;"","POLICE","")))))))</f>
        <v/>
      </c>
      <c r="Y151" s="12" t="n"/>
      <c r="Z151" s="15">
        <f>IF(Y151="","",Y151+30)</f>
        <v/>
      </c>
      <c r="AA151" s="13" t="n"/>
      <c r="AB151" s="13" t="n"/>
      <c r="AC151" s="13" t="n"/>
      <c r="AD151" s="13" t="n"/>
      <c r="AE151" s="14">
        <f>IF(B151="","",IF(AA151&lt;&gt;"","مدفوع",IF(AB151&lt;&gt;"","لم يدفع",IF(AC151&lt;&gt;"","تأمين فقط",IF(AD151&lt;&gt;"","اشتراك 300","")))))</f>
        <v/>
      </c>
      <c r="AF151" s="16">
        <f>IF(OR(AE151="لم يدفع",B151=""),"",IF(OR(AE151="تأمين فقط",X151="FCS",X151="RCS"),0,IF(OR(AE151="اشتراك 300",X151="POLICE",X151="OPOW",X151="DJS"),300,IF(H151&lt;14,1300,1500))))</f>
        <v/>
      </c>
      <c r="AG151" s="16">
        <f>IF(OR(AE151="لم يدفع",B151=""),"",500)</f>
        <v/>
      </c>
      <c r="AH151" s="16">
        <f>IF(OR(AE151="لم يدفع",AE151="تأمين فقط",AE151="اشتراك 300",X151="OPOW",X151="DJS",X151="FCS",X151="RCS",X151="POLICE",B151=""),"",1000)</f>
        <v/>
      </c>
      <c r="AI151" s="17">
        <f>IF(AE151="لم يدفع","",IF(AF151="","",AF151+AG151))</f>
        <v/>
      </c>
      <c r="AJ151" s="18">
        <f>IF(B151="","",IF(AE151="لم يدفع","🔒 مجمدة",IF(Z151="","",IF(Z151&lt;TODAY(),"⛔ منتهي - يتطلب تجديد",IF(Z151-5&lt;=TODAY(),"⚠️ قريب الانتهاء","✅ ساري")))))</f>
        <v/>
      </c>
      <c r="AK151" s="13" t="n"/>
      <c r="AL151" s="13" t="n"/>
      <c r="AM151" s="13" t="n"/>
      <c r="AN151" s="13" t="n"/>
      <c r="AO151" s="14">
        <f>IF(B151="","",IF(AK151&lt;&gt;"","الأحد والأربعاء",IF(AL151&lt;&gt;"","الاثنين والخميس",IF(AM151&lt;&gt;"","الثلاثاء والجمعة",IF(AN151&lt;&gt;"","كل الأيام","")))))</f>
        <v/>
      </c>
      <c r="AP151" s="13" t="n"/>
      <c r="AQ151" s="13" t="n"/>
      <c r="AR151" s="13" t="n"/>
      <c r="AS151" s="13" t="n"/>
      <c r="AT151" s="14">
        <f>IF(B151="","",IF(AP151&lt;&gt;"","09:00-10:00",IF(AQ151&lt;&gt;"","10:00-11:00",IF(AR151&lt;&gt;"","19:00-20:00",IF(AS151&lt;&gt;"","20:00-21:00","")))))</f>
        <v/>
      </c>
      <c r="AU151" s="19">
        <f>IF(B151="","",COUNTA(التجديد!E151:E151))</f>
        <v/>
      </c>
    </row>
    <row r="152" ht="22" customHeight="1">
      <c r="A152" s="10">
        <f>IF(B152="","","RCS "&amp;TEXT(ROW()-2,"000"))</f>
        <v/>
      </c>
      <c r="B152" s="11" t="n"/>
      <c r="C152" s="11" t="n"/>
      <c r="D152" s="12" t="n"/>
      <c r="E152" s="13" t="n"/>
      <c r="F152" s="13" t="n"/>
      <c r="G152" s="14">
        <f>IF(B152="","",IF(E152&lt;&gt;"","ذكر",IF(F152&lt;&gt;"","أنثى","")))</f>
        <v/>
      </c>
      <c r="H152" s="14">
        <f>IF(D152="","",DATEDIF(D152,TODAY(),"Y"))</f>
        <v/>
      </c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4">
        <f>IF(B152="","",IF(I152&lt;&gt;"","A+",IF(J152&lt;&gt;"","A-",IF(K152&lt;&gt;"","B+",IF(L152&lt;&gt;"","B-",IF(M152&lt;&gt;"","O+",IF(N152&lt;&gt;"","O-",IF(O152&lt;&gt;"","AB+",IF(P152&lt;&gt;"","AB-",""))))))))</f>
        <v/>
      </c>
      <c r="R152" s="13" t="n"/>
      <c r="S152" s="13" t="n"/>
      <c r="T152" s="13" t="n"/>
      <c r="U152" s="13" t="n"/>
      <c r="V152" s="13" t="n"/>
      <c r="W152" s="13" t="n"/>
      <c r="X152" s="14">
        <f>IF(B152="","",IF(R152&lt;&gt;"","/",IF(S152&lt;&gt;"","OPOW",IF(T152&lt;&gt;"","DJS",IF(U152&lt;&gt;"","FCS",IF(V152&lt;&gt;"","RCS",IF(W152&lt;&gt;"","POLICE","")))))))</f>
        <v/>
      </c>
      <c r="Y152" s="12" t="n"/>
      <c r="Z152" s="15">
        <f>IF(Y152="","",Y152+30)</f>
        <v/>
      </c>
      <c r="AA152" s="13" t="n"/>
      <c r="AB152" s="13" t="n"/>
      <c r="AC152" s="13" t="n"/>
      <c r="AD152" s="13" t="n"/>
      <c r="AE152" s="14">
        <f>IF(B152="","",IF(AA152&lt;&gt;"","مدفوع",IF(AB152&lt;&gt;"","لم يدفع",IF(AC152&lt;&gt;"","تأمين فقط",IF(AD152&lt;&gt;"","اشتراك 300","")))))</f>
        <v/>
      </c>
      <c r="AF152" s="16">
        <f>IF(OR(AE152="لم يدفع",B152=""),"",IF(OR(AE152="تأمين فقط",X152="FCS",X152="RCS"),0,IF(OR(AE152="اشتراك 300",X152="POLICE",X152="OPOW",X152="DJS"),300,IF(H152&lt;14,1300,1500))))</f>
        <v/>
      </c>
      <c r="AG152" s="16">
        <f>IF(OR(AE152="لم يدفع",B152=""),"",500)</f>
        <v/>
      </c>
      <c r="AH152" s="16">
        <f>IF(OR(AE152="لم يدفع",AE152="تأمين فقط",AE152="اشتراك 300",X152="OPOW",X152="DJS",X152="FCS",X152="RCS",X152="POLICE",B152=""),"",1000)</f>
        <v/>
      </c>
      <c r="AI152" s="17">
        <f>IF(AE152="لم يدفع","",IF(AF152="","",AF152+AG152))</f>
        <v/>
      </c>
      <c r="AJ152" s="18">
        <f>IF(B152="","",IF(AE152="لم يدفع","🔒 مجمدة",IF(Z152="","",IF(Z152&lt;TODAY(),"⛔ منتهي - يتطلب تجديد",IF(Z152-5&lt;=TODAY(),"⚠️ قريب الانتهاء","✅ ساري")))))</f>
        <v/>
      </c>
      <c r="AK152" s="13" t="n"/>
      <c r="AL152" s="13" t="n"/>
      <c r="AM152" s="13" t="n"/>
      <c r="AN152" s="13" t="n"/>
      <c r="AO152" s="14">
        <f>IF(B152="","",IF(AK152&lt;&gt;"","الأحد والأربعاء",IF(AL152&lt;&gt;"","الاثنين والخميس",IF(AM152&lt;&gt;"","الثلاثاء والجمعة",IF(AN152&lt;&gt;"","كل الأيام","")))))</f>
        <v/>
      </c>
      <c r="AP152" s="13" t="n"/>
      <c r="AQ152" s="13" t="n"/>
      <c r="AR152" s="13" t="n"/>
      <c r="AS152" s="13" t="n"/>
      <c r="AT152" s="14">
        <f>IF(B152="","",IF(AP152&lt;&gt;"","09:00-10:00",IF(AQ152&lt;&gt;"","10:00-11:00",IF(AR152&lt;&gt;"","19:00-20:00",IF(AS152&lt;&gt;"","20:00-21:00","")))))</f>
        <v/>
      </c>
      <c r="AU152" s="19">
        <f>IF(B152="","",COUNTA(التجديد!E152:E152))</f>
        <v/>
      </c>
    </row>
    <row r="153" ht="22" customHeight="1">
      <c r="A153" s="10">
        <f>IF(B153="","","RCS "&amp;TEXT(ROW()-2,"000"))</f>
        <v/>
      </c>
      <c r="B153" s="11" t="n"/>
      <c r="C153" s="11" t="n"/>
      <c r="D153" s="12" t="n"/>
      <c r="E153" s="13" t="n"/>
      <c r="F153" s="13" t="n"/>
      <c r="G153" s="14">
        <f>IF(B153="","",IF(E153&lt;&gt;"","ذكر",IF(F153&lt;&gt;"","أنثى","")))</f>
        <v/>
      </c>
      <c r="H153" s="14">
        <f>IF(D153="","",DATEDIF(D153,TODAY(),"Y"))</f>
        <v/>
      </c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4">
        <f>IF(B153="","",IF(I153&lt;&gt;"","A+",IF(J153&lt;&gt;"","A-",IF(K153&lt;&gt;"","B+",IF(L153&lt;&gt;"","B-",IF(M153&lt;&gt;"","O+",IF(N153&lt;&gt;"","O-",IF(O153&lt;&gt;"","AB+",IF(P153&lt;&gt;"","AB-",""))))))))</f>
        <v/>
      </c>
      <c r="R153" s="13" t="n"/>
      <c r="S153" s="13" t="n"/>
      <c r="T153" s="13" t="n"/>
      <c r="U153" s="13" t="n"/>
      <c r="V153" s="13" t="n"/>
      <c r="W153" s="13" t="n"/>
      <c r="X153" s="14">
        <f>IF(B153="","",IF(R153&lt;&gt;"","/",IF(S153&lt;&gt;"","OPOW",IF(T153&lt;&gt;"","DJS",IF(U153&lt;&gt;"","FCS",IF(V153&lt;&gt;"","RCS",IF(W153&lt;&gt;"","POLICE","")))))))</f>
        <v/>
      </c>
      <c r="Y153" s="12" t="n"/>
      <c r="Z153" s="15">
        <f>IF(Y153="","",Y153+30)</f>
        <v/>
      </c>
      <c r="AA153" s="13" t="n"/>
      <c r="AB153" s="13" t="n"/>
      <c r="AC153" s="13" t="n"/>
      <c r="AD153" s="13" t="n"/>
      <c r="AE153" s="14">
        <f>IF(B153="","",IF(AA153&lt;&gt;"","مدفوع",IF(AB153&lt;&gt;"","لم يدفع",IF(AC153&lt;&gt;"","تأمين فقط",IF(AD153&lt;&gt;"","اشتراك 300","")))))</f>
        <v/>
      </c>
      <c r="AF153" s="16">
        <f>IF(OR(AE153="لم يدفع",B153=""),"",IF(OR(AE153="تأمين فقط",X153="FCS",X153="RCS"),0,IF(OR(AE153="اشتراك 300",X153="POLICE",X153="OPOW",X153="DJS"),300,IF(H153&lt;14,1300,1500))))</f>
        <v/>
      </c>
      <c r="AG153" s="16">
        <f>IF(OR(AE153="لم يدفع",B153=""),"",500)</f>
        <v/>
      </c>
      <c r="AH153" s="16">
        <f>IF(OR(AE153="لم يدفع",AE153="تأمين فقط",AE153="اشتراك 300",X153="OPOW",X153="DJS",X153="FCS",X153="RCS",X153="POLICE",B153=""),"",1000)</f>
        <v/>
      </c>
      <c r="AI153" s="17">
        <f>IF(AE153="لم يدفع","",IF(AF153="","",AF153+AG153))</f>
        <v/>
      </c>
      <c r="AJ153" s="18">
        <f>IF(B153="","",IF(AE153="لم يدفع","🔒 مجمدة",IF(Z153="","",IF(Z153&lt;TODAY(),"⛔ منتهي - يتطلب تجديد",IF(Z153-5&lt;=TODAY(),"⚠️ قريب الانتهاء","✅ ساري")))))</f>
        <v/>
      </c>
      <c r="AK153" s="13" t="n"/>
      <c r="AL153" s="13" t="n"/>
      <c r="AM153" s="13" t="n"/>
      <c r="AN153" s="13" t="n"/>
      <c r="AO153" s="14">
        <f>IF(B153="","",IF(AK153&lt;&gt;"","الأحد والأربعاء",IF(AL153&lt;&gt;"","الاثنين والخميس",IF(AM153&lt;&gt;"","الثلاثاء والجمعة",IF(AN153&lt;&gt;"","كل الأيام","")))))</f>
        <v/>
      </c>
      <c r="AP153" s="13" t="n"/>
      <c r="AQ153" s="13" t="n"/>
      <c r="AR153" s="13" t="n"/>
      <c r="AS153" s="13" t="n"/>
      <c r="AT153" s="14">
        <f>IF(B153="","",IF(AP153&lt;&gt;"","09:00-10:00",IF(AQ153&lt;&gt;"","10:00-11:00",IF(AR153&lt;&gt;"","19:00-20:00",IF(AS153&lt;&gt;"","20:00-21:00","")))))</f>
        <v/>
      </c>
      <c r="AU153" s="19">
        <f>IF(B153="","",COUNTA(التجديد!E153:E153))</f>
        <v/>
      </c>
    </row>
    <row r="154" ht="22" customHeight="1">
      <c r="A154" s="10">
        <f>IF(B154="","","RCS "&amp;TEXT(ROW()-2,"000"))</f>
        <v/>
      </c>
      <c r="B154" s="11" t="n"/>
      <c r="C154" s="11" t="n"/>
      <c r="D154" s="12" t="n"/>
      <c r="E154" s="13" t="n"/>
      <c r="F154" s="13" t="n"/>
      <c r="G154" s="14">
        <f>IF(B154="","",IF(E154&lt;&gt;"","ذكر",IF(F154&lt;&gt;"","أنثى","")))</f>
        <v/>
      </c>
      <c r="H154" s="14">
        <f>IF(D154="","",DATEDIF(D154,TODAY(),"Y"))</f>
        <v/>
      </c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4">
        <f>IF(B154="","",IF(I154&lt;&gt;"","A+",IF(J154&lt;&gt;"","A-",IF(K154&lt;&gt;"","B+",IF(L154&lt;&gt;"","B-",IF(M154&lt;&gt;"","O+",IF(N154&lt;&gt;"","O-",IF(O154&lt;&gt;"","AB+",IF(P154&lt;&gt;"","AB-",""))))))))</f>
        <v/>
      </c>
      <c r="R154" s="13" t="n"/>
      <c r="S154" s="13" t="n"/>
      <c r="T154" s="13" t="n"/>
      <c r="U154" s="13" t="n"/>
      <c r="V154" s="13" t="n"/>
      <c r="W154" s="13" t="n"/>
      <c r="X154" s="14">
        <f>IF(B154="","",IF(R154&lt;&gt;"","/",IF(S154&lt;&gt;"","OPOW",IF(T154&lt;&gt;"","DJS",IF(U154&lt;&gt;"","FCS",IF(V154&lt;&gt;"","RCS",IF(W154&lt;&gt;"","POLICE","")))))))</f>
        <v/>
      </c>
      <c r="Y154" s="12" t="n"/>
      <c r="Z154" s="15">
        <f>IF(Y154="","",Y154+30)</f>
        <v/>
      </c>
      <c r="AA154" s="13" t="n"/>
      <c r="AB154" s="13" t="n"/>
      <c r="AC154" s="13" t="n"/>
      <c r="AD154" s="13" t="n"/>
      <c r="AE154" s="14">
        <f>IF(B154="","",IF(AA154&lt;&gt;"","مدفوع",IF(AB154&lt;&gt;"","لم يدفع",IF(AC154&lt;&gt;"","تأمين فقط",IF(AD154&lt;&gt;"","اشتراك 300","")))))</f>
        <v/>
      </c>
      <c r="AF154" s="16">
        <f>IF(OR(AE154="لم يدفع",B154=""),"",IF(OR(AE154="تأمين فقط",X154="FCS",X154="RCS"),0,IF(OR(AE154="اشتراك 300",X154="POLICE",X154="OPOW",X154="DJS"),300,IF(H154&lt;14,1300,1500))))</f>
        <v/>
      </c>
      <c r="AG154" s="16">
        <f>IF(OR(AE154="لم يدفع",B154=""),"",500)</f>
        <v/>
      </c>
      <c r="AH154" s="16">
        <f>IF(OR(AE154="لم يدفع",AE154="تأمين فقط",AE154="اشتراك 300",X154="OPOW",X154="DJS",X154="FCS",X154="RCS",X154="POLICE",B154=""),"",1000)</f>
        <v/>
      </c>
      <c r="AI154" s="17">
        <f>IF(AE154="لم يدفع","",IF(AF154="","",AF154+AG154))</f>
        <v/>
      </c>
      <c r="AJ154" s="18">
        <f>IF(B154="","",IF(AE154="لم يدفع","🔒 مجمدة",IF(Z154="","",IF(Z154&lt;TODAY(),"⛔ منتهي - يتطلب تجديد",IF(Z154-5&lt;=TODAY(),"⚠️ قريب الانتهاء","✅ ساري")))))</f>
        <v/>
      </c>
      <c r="AK154" s="13" t="n"/>
      <c r="AL154" s="13" t="n"/>
      <c r="AM154" s="13" t="n"/>
      <c r="AN154" s="13" t="n"/>
      <c r="AO154" s="14">
        <f>IF(B154="","",IF(AK154&lt;&gt;"","الأحد والأربعاء",IF(AL154&lt;&gt;"","الاثنين والخميس",IF(AM154&lt;&gt;"","الثلاثاء والجمعة",IF(AN154&lt;&gt;"","كل الأيام","")))))</f>
        <v/>
      </c>
      <c r="AP154" s="13" t="n"/>
      <c r="AQ154" s="13" t="n"/>
      <c r="AR154" s="13" t="n"/>
      <c r="AS154" s="13" t="n"/>
      <c r="AT154" s="14">
        <f>IF(B154="","",IF(AP154&lt;&gt;"","09:00-10:00",IF(AQ154&lt;&gt;"","10:00-11:00",IF(AR154&lt;&gt;"","19:00-20:00",IF(AS154&lt;&gt;"","20:00-21:00","")))))</f>
        <v/>
      </c>
      <c r="AU154" s="19">
        <f>IF(B154="","",COUNTA(التجديد!E154:E154))</f>
        <v/>
      </c>
    </row>
    <row r="155" ht="22" customHeight="1">
      <c r="A155" s="10">
        <f>IF(B155="","","RCS "&amp;TEXT(ROW()-2,"000"))</f>
        <v/>
      </c>
      <c r="B155" s="11" t="n"/>
      <c r="C155" s="11" t="n"/>
      <c r="D155" s="12" t="n"/>
      <c r="E155" s="13" t="n"/>
      <c r="F155" s="13" t="n"/>
      <c r="G155" s="14">
        <f>IF(B155="","",IF(E155&lt;&gt;"","ذكر",IF(F155&lt;&gt;"","أنثى","")))</f>
        <v/>
      </c>
      <c r="H155" s="14">
        <f>IF(D155="","",DATEDIF(D155,TODAY(),"Y"))</f>
        <v/>
      </c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4">
        <f>IF(B155="","",IF(I155&lt;&gt;"","A+",IF(J155&lt;&gt;"","A-",IF(K155&lt;&gt;"","B+",IF(L155&lt;&gt;"","B-",IF(M155&lt;&gt;"","O+",IF(N155&lt;&gt;"","O-",IF(O155&lt;&gt;"","AB+",IF(P155&lt;&gt;"","AB-",""))))))))</f>
        <v/>
      </c>
      <c r="R155" s="13" t="n"/>
      <c r="S155" s="13" t="n"/>
      <c r="T155" s="13" t="n"/>
      <c r="U155" s="13" t="n"/>
      <c r="V155" s="13" t="n"/>
      <c r="W155" s="13" t="n"/>
      <c r="X155" s="14">
        <f>IF(B155="","",IF(R155&lt;&gt;"","/",IF(S155&lt;&gt;"","OPOW",IF(T155&lt;&gt;"","DJS",IF(U155&lt;&gt;"","FCS",IF(V155&lt;&gt;"","RCS",IF(W155&lt;&gt;"","POLICE","")))))))</f>
        <v/>
      </c>
      <c r="Y155" s="12" t="n"/>
      <c r="Z155" s="15">
        <f>IF(Y155="","",Y155+30)</f>
        <v/>
      </c>
      <c r="AA155" s="13" t="n"/>
      <c r="AB155" s="13" t="n"/>
      <c r="AC155" s="13" t="n"/>
      <c r="AD155" s="13" t="n"/>
      <c r="AE155" s="14">
        <f>IF(B155="","",IF(AA155&lt;&gt;"","مدفوع",IF(AB155&lt;&gt;"","لم يدفع",IF(AC155&lt;&gt;"","تأمين فقط",IF(AD155&lt;&gt;"","اشتراك 300","")))))</f>
        <v/>
      </c>
      <c r="AF155" s="16">
        <f>IF(OR(AE155="لم يدفع",B155=""),"",IF(OR(AE155="تأمين فقط",X155="FCS",X155="RCS"),0,IF(OR(AE155="اشتراك 300",X155="POLICE",X155="OPOW",X155="DJS"),300,IF(H155&lt;14,1300,1500))))</f>
        <v/>
      </c>
      <c r="AG155" s="16">
        <f>IF(OR(AE155="لم يدفع",B155=""),"",500)</f>
        <v/>
      </c>
      <c r="AH155" s="16">
        <f>IF(OR(AE155="لم يدفع",AE155="تأمين فقط",AE155="اشتراك 300",X155="OPOW",X155="DJS",X155="FCS",X155="RCS",X155="POLICE",B155=""),"",1000)</f>
        <v/>
      </c>
      <c r="AI155" s="17">
        <f>IF(AE155="لم يدفع","",IF(AF155="","",AF155+AG155))</f>
        <v/>
      </c>
      <c r="AJ155" s="18">
        <f>IF(B155="","",IF(AE155="لم يدفع","🔒 مجمدة",IF(Z155="","",IF(Z155&lt;TODAY(),"⛔ منتهي - يتطلب تجديد",IF(Z155-5&lt;=TODAY(),"⚠️ قريب الانتهاء","✅ ساري")))))</f>
        <v/>
      </c>
      <c r="AK155" s="13" t="n"/>
      <c r="AL155" s="13" t="n"/>
      <c r="AM155" s="13" t="n"/>
      <c r="AN155" s="13" t="n"/>
      <c r="AO155" s="14">
        <f>IF(B155="","",IF(AK155&lt;&gt;"","الأحد والأربعاء",IF(AL155&lt;&gt;"","الاثنين والخميس",IF(AM155&lt;&gt;"","الثلاثاء والجمعة",IF(AN155&lt;&gt;"","كل الأيام","")))))</f>
        <v/>
      </c>
      <c r="AP155" s="13" t="n"/>
      <c r="AQ155" s="13" t="n"/>
      <c r="AR155" s="13" t="n"/>
      <c r="AS155" s="13" t="n"/>
      <c r="AT155" s="14">
        <f>IF(B155="","",IF(AP155&lt;&gt;"","09:00-10:00",IF(AQ155&lt;&gt;"","10:00-11:00",IF(AR155&lt;&gt;"","19:00-20:00",IF(AS155&lt;&gt;"","20:00-21:00","")))))</f>
        <v/>
      </c>
      <c r="AU155" s="19">
        <f>IF(B155="","",COUNTA(التجديد!E155:E155))</f>
        <v/>
      </c>
    </row>
    <row r="156" ht="22" customHeight="1">
      <c r="A156" s="10">
        <f>IF(B156="","","RCS "&amp;TEXT(ROW()-2,"000"))</f>
        <v/>
      </c>
      <c r="B156" s="11" t="n"/>
      <c r="C156" s="11" t="n"/>
      <c r="D156" s="12" t="n"/>
      <c r="E156" s="13" t="n"/>
      <c r="F156" s="13" t="n"/>
      <c r="G156" s="14">
        <f>IF(B156="","",IF(E156&lt;&gt;"","ذكر",IF(F156&lt;&gt;"","أنثى","")))</f>
        <v/>
      </c>
      <c r="H156" s="14">
        <f>IF(D156="","",DATEDIF(D156,TODAY(),"Y"))</f>
        <v/>
      </c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4">
        <f>IF(B156="","",IF(I156&lt;&gt;"","A+",IF(J156&lt;&gt;"","A-",IF(K156&lt;&gt;"","B+",IF(L156&lt;&gt;"","B-",IF(M156&lt;&gt;"","O+",IF(N156&lt;&gt;"","O-",IF(O156&lt;&gt;"","AB+",IF(P156&lt;&gt;"","AB-",""))))))))</f>
        <v/>
      </c>
      <c r="R156" s="13" t="n"/>
      <c r="S156" s="13" t="n"/>
      <c r="T156" s="13" t="n"/>
      <c r="U156" s="13" t="n"/>
      <c r="V156" s="13" t="n"/>
      <c r="W156" s="13" t="n"/>
      <c r="X156" s="14">
        <f>IF(B156="","",IF(R156&lt;&gt;"","/",IF(S156&lt;&gt;"","OPOW",IF(T156&lt;&gt;"","DJS",IF(U156&lt;&gt;"","FCS",IF(V156&lt;&gt;"","RCS",IF(W156&lt;&gt;"","POLICE","")))))))</f>
        <v/>
      </c>
      <c r="Y156" s="12" t="n"/>
      <c r="Z156" s="15">
        <f>IF(Y156="","",Y156+30)</f>
        <v/>
      </c>
      <c r="AA156" s="13" t="n"/>
      <c r="AB156" s="13" t="n"/>
      <c r="AC156" s="13" t="n"/>
      <c r="AD156" s="13" t="n"/>
      <c r="AE156" s="14">
        <f>IF(B156="","",IF(AA156&lt;&gt;"","مدفوع",IF(AB156&lt;&gt;"","لم يدفع",IF(AC156&lt;&gt;"","تأمين فقط",IF(AD156&lt;&gt;"","اشتراك 300","")))))</f>
        <v/>
      </c>
      <c r="AF156" s="16">
        <f>IF(OR(AE156="لم يدفع",B156=""),"",IF(OR(AE156="تأمين فقط",X156="FCS",X156="RCS"),0,IF(OR(AE156="اشتراك 300",X156="POLICE",X156="OPOW",X156="DJS"),300,IF(H156&lt;14,1300,1500))))</f>
        <v/>
      </c>
      <c r="AG156" s="16">
        <f>IF(OR(AE156="لم يدفع",B156=""),"",500)</f>
        <v/>
      </c>
      <c r="AH156" s="16">
        <f>IF(OR(AE156="لم يدفع",AE156="تأمين فقط",AE156="اشتراك 300",X156="OPOW",X156="DJS",X156="FCS",X156="RCS",X156="POLICE",B156=""),"",1000)</f>
        <v/>
      </c>
      <c r="AI156" s="17">
        <f>IF(AE156="لم يدفع","",IF(AF156="","",AF156+AG156))</f>
        <v/>
      </c>
      <c r="AJ156" s="18">
        <f>IF(B156="","",IF(AE156="لم يدفع","🔒 مجمدة",IF(Z156="","",IF(Z156&lt;TODAY(),"⛔ منتهي - يتطلب تجديد",IF(Z156-5&lt;=TODAY(),"⚠️ قريب الانتهاء","✅ ساري")))))</f>
        <v/>
      </c>
      <c r="AK156" s="13" t="n"/>
      <c r="AL156" s="13" t="n"/>
      <c r="AM156" s="13" t="n"/>
      <c r="AN156" s="13" t="n"/>
      <c r="AO156" s="14">
        <f>IF(B156="","",IF(AK156&lt;&gt;"","الأحد والأربعاء",IF(AL156&lt;&gt;"","الاثنين والخميس",IF(AM156&lt;&gt;"","الثلاثاء والجمعة",IF(AN156&lt;&gt;"","كل الأيام","")))))</f>
        <v/>
      </c>
      <c r="AP156" s="13" t="n"/>
      <c r="AQ156" s="13" t="n"/>
      <c r="AR156" s="13" t="n"/>
      <c r="AS156" s="13" t="n"/>
      <c r="AT156" s="14">
        <f>IF(B156="","",IF(AP156&lt;&gt;"","09:00-10:00",IF(AQ156&lt;&gt;"","10:00-11:00",IF(AR156&lt;&gt;"","19:00-20:00",IF(AS156&lt;&gt;"","20:00-21:00","")))))</f>
        <v/>
      </c>
      <c r="AU156" s="19">
        <f>IF(B156="","",COUNTA(التجديد!E156:E156))</f>
        <v/>
      </c>
    </row>
    <row r="157" ht="22" customHeight="1">
      <c r="A157" s="10">
        <f>IF(B157="","","RCS "&amp;TEXT(ROW()-2,"000"))</f>
        <v/>
      </c>
      <c r="B157" s="11" t="n"/>
      <c r="C157" s="11" t="n"/>
      <c r="D157" s="12" t="n"/>
      <c r="E157" s="13" t="n"/>
      <c r="F157" s="13" t="n"/>
      <c r="G157" s="14">
        <f>IF(B157="","",IF(E157&lt;&gt;"","ذكر",IF(F157&lt;&gt;"","أنثى","")))</f>
        <v/>
      </c>
      <c r="H157" s="14">
        <f>IF(D157="","",DATEDIF(D157,TODAY(),"Y"))</f>
        <v/>
      </c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4">
        <f>IF(B157="","",IF(I157&lt;&gt;"","A+",IF(J157&lt;&gt;"","A-",IF(K157&lt;&gt;"","B+",IF(L157&lt;&gt;"","B-",IF(M157&lt;&gt;"","O+",IF(N157&lt;&gt;"","O-",IF(O157&lt;&gt;"","AB+",IF(P157&lt;&gt;"","AB-",""))))))))</f>
        <v/>
      </c>
      <c r="R157" s="13" t="n"/>
      <c r="S157" s="13" t="n"/>
      <c r="T157" s="13" t="n"/>
      <c r="U157" s="13" t="n"/>
      <c r="V157" s="13" t="n"/>
      <c r="W157" s="13" t="n"/>
      <c r="X157" s="14">
        <f>IF(B157="","",IF(R157&lt;&gt;"","/",IF(S157&lt;&gt;"","OPOW",IF(T157&lt;&gt;"","DJS",IF(U157&lt;&gt;"","FCS",IF(V157&lt;&gt;"","RCS",IF(W157&lt;&gt;"","POLICE","")))))))</f>
        <v/>
      </c>
      <c r="Y157" s="12" t="n"/>
      <c r="Z157" s="15">
        <f>IF(Y157="","",Y157+30)</f>
        <v/>
      </c>
      <c r="AA157" s="13" t="n"/>
      <c r="AB157" s="13" t="n"/>
      <c r="AC157" s="13" t="n"/>
      <c r="AD157" s="13" t="n"/>
      <c r="AE157" s="14">
        <f>IF(B157="","",IF(AA157&lt;&gt;"","مدفوع",IF(AB157&lt;&gt;"","لم يدفع",IF(AC157&lt;&gt;"","تأمين فقط",IF(AD157&lt;&gt;"","اشتراك 300","")))))</f>
        <v/>
      </c>
      <c r="AF157" s="16">
        <f>IF(OR(AE157="لم يدفع",B157=""),"",IF(OR(AE157="تأمين فقط",X157="FCS",X157="RCS"),0,IF(OR(AE157="اشتراك 300",X157="POLICE",X157="OPOW",X157="DJS"),300,IF(H157&lt;14,1300,1500))))</f>
        <v/>
      </c>
      <c r="AG157" s="16">
        <f>IF(OR(AE157="لم يدفع",B157=""),"",500)</f>
        <v/>
      </c>
      <c r="AH157" s="16">
        <f>IF(OR(AE157="لم يدفع",AE157="تأمين فقط",AE157="اشتراك 300",X157="OPOW",X157="DJS",X157="FCS",X157="RCS",X157="POLICE",B157=""),"",1000)</f>
        <v/>
      </c>
      <c r="AI157" s="17">
        <f>IF(AE157="لم يدفع","",IF(AF157="","",AF157+AG157))</f>
        <v/>
      </c>
      <c r="AJ157" s="18">
        <f>IF(B157="","",IF(AE157="لم يدفع","🔒 مجمدة",IF(Z157="","",IF(Z157&lt;TODAY(),"⛔ منتهي - يتطلب تجديد",IF(Z157-5&lt;=TODAY(),"⚠️ قريب الانتهاء","✅ ساري")))))</f>
        <v/>
      </c>
      <c r="AK157" s="13" t="n"/>
      <c r="AL157" s="13" t="n"/>
      <c r="AM157" s="13" t="n"/>
      <c r="AN157" s="13" t="n"/>
      <c r="AO157" s="14">
        <f>IF(B157="","",IF(AK157&lt;&gt;"","الأحد والأربعاء",IF(AL157&lt;&gt;"","الاثنين والخميس",IF(AM157&lt;&gt;"","الثلاثاء والجمعة",IF(AN157&lt;&gt;"","كل الأيام","")))))</f>
        <v/>
      </c>
      <c r="AP157" s="13" t="n"/>
      <c r="AQ157" s="13" t="n"/>
      <c r="AR157" s="13" t="n"/>
      <c r="AS157" s="13" t="n"/>
      <c r="AT157" s="14">
        <f>IF(B157="","",IF(AP157&lt;&gt;"","09:00-10:00",IF(AQ157&lt;&gt;"","10:00-11:00",IF(AR157&lt;&gt;"","19:00-20:00",IF(AS157&lt;&gt;"","20:00-21:00","")))))</f>
        <v/>
      </c>
      <c r="AU157" s="19">
        <f>IF(B157="","",COUNTA(التجديد!E157:E157))</f>
        <v/>
      </c>
    </row>
    <row r="158" ht="22" customHeight="1">
      <c r="A158" s="10">
        <f>IF(B158="","","RCS "&amp;TEXT(ROW()-2,"000"))</f>
        <v/>
      </c>
      <c r="B158" s="11" t="n"/>
      <c r="C158" s="11" t="n"/>
      <c r="D158" s="12" t="n"/>
      <c r="E158" s="13" t="n"/>
      <c r="F158" s="13" t="n"/>
      <c r="G158" s="14">
        <f>IF(B158="","",IF(E158&lt;&gt;"","ذكر",IF(F158&lt;&gt;"","أنثى","")))</f>
        <v/>
      </c>
      <c r="H158" s="14">
        <f>IF(D158="","",DATEDIF(D158,TODAY(),"Y"))</f>
        <v/>
      </c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4">
        <f>IF(B158="","",IF(I158&lt;&gt;"","A+",IF(J158&lt;&gt;"","A-",IF(K158&lt;&gt;"","B+",IF(L158&lt;&gt;"","B-",IF(M158&lt;&gt;"","O+",IF(N158&lt;&gt;"","O-",IF(O158&lt;&gt;"","AB+",IF(P158&lt;&gt;"","AB-",""))))))))</f>
        <v/>
      </c>
      <c r="R158" s="13" t="n"/>
      <c r="S158" s="13" t="n"/>
      <c r="T158" s="13" t="n"/>
      <c r="U158" s="13" t="n"/>
      <c r="V158" s="13" t="n"/>
      <c r="W158" s="13" t="n"/>
      <c r="X158" s="14">
        <f>IF(B158="","",IF(R158&lt;&gt;"","/",IF(S158&lt;&gt;"","OPOW",IF(T158&lt;&gt;"","DJS",IF(U158&lt;&gt;"","FCS",IF(V158&lt;&gt;"","RCS",IF(W158&lt;&gt;"","POLICE","")))))))</f>
        <v/>
      </c>
      <c r="Y158" s="12" t="n"/>
      <c r="Z158" s="15">
        <f>IF(Y158="","",Y158+30)</f>
        <v/>
      </c>
      <c r="AA158" s="13" t="n"/>
      <c r="AB158" s="13" t="n"/>
      <c r="AC158" s="13" t="n"/>
      <c r="AD158" s="13" t="n"/>
      <c r="AE158" s="14">
        <f>IF(B158="","",IF(AA158&lt;&gt;"","مدفوع",IF(AB158&lt;&gt;"","لم يدفع",IF(AC158&lt;&gt;"","تأمين فقط",IF(AD158&lt;&gt;"","اشتراك 300","")))))</f>
        <v/>
      </c>
      <c r="AF158" s="16">
        <f>IF(OR(AE158="لم يدفع",B158=""),"",IF(OR(AE158="تأمين فقط",X158="FCS",X158="RCS"),0,IF(OR(AE158="اشتراك 300",X158="POLICE",X158="OPOW",X158="DJS"),300,IF(H158&lt;14,1300,1500))))</f>
        <v/>
      </c>
      <c r="AG158" s="16">
        <f>IF(OR(AE158="لم يدفع",B158=""),"",500)</f>
        <v/>
      </c>
      <c r="AH158" s="16">
        <f>IF(OR(AE158="لم يدفع",AE158="تأمين فقط",AE158="اشتراك 300",X158="OPOW",X158="DJS",X158="FCS",X158="RCS",X158="POLICE",B158=""),"",1000)</f>
        <v/>
      </c>
      <c r="AI158" s="17">
        <f>IF(AE158="لم يدفع","",IF(AF158="","",AF158+AG158))</f>
        <v/>
      </c>
      <c r="AJ158" s="18">
        <f>IF(B158="","",IF(AE158="لم يدفع","🔒 مجمدة",IF(Z158="","",IF(Z158&lt;TODAY(),"⛔ منتهي - يتطلب تجديد",IF(Z158-5&lt;=TODAY(),"⚠️ قريب الانتهاء","✅ ساري")))))</f>
        <v/>
      </c>
      <c r="AK158" s="13" t="n"/>
      <c r="AL158" s="13" t="n"/>
      <c r="AM158" s="13" t="n"/>
      <c r="AN158" s="13" t="n"/>
      <c r="AO158" s="14">
        <f>IF(B158="","",IF(AK158&lt;&gt;"","الأحد والأربعاء",IF(AL158&lt;&gt;"","الاثنين والخميس",IF(AM158&lt;&gt;"","الثلاثاء والجمعة",IF(AN158&lt;&gt;"","كل الأيام","")))))</f>
        <v/>
      </c>
      <c r="AP158" s="13" t="n"/>
      <c r="AQ158" s="13" t="n"/>
      <c r="AR158" s="13" t="n"/>
      <c r="AS158" s="13" t="n"/>
      <c r="AT158" s="14">
        <f>IF(B158="","",IF(AP158&lt;&gt;"","09:00-10:00",IF(AQ158&lt;&gt;"","10:00-11:00",IF(AR158&lt;&gt;"","19:00-20:00",IF(AS158&lt;&gt;"","20:00-21:00","")))))</f>
        <v/>
      </c>
      <c r="AU158" s="19">
        <f>IF(B158="","",COUNTA(التجديد!E158:E158))</f>
        <v/>
      </c>
    </row>
    <row r="159" ht="22" customHeight="1">
      <c r="A159" s="10">
        <f>IF(B159="","","RCS "&amp;TEXT(ROW()-2,"000"))</f>
        <v/>
      </c>
      <c r="B159" s="11" t="n"/>
      <c r="C159" s="11" t="n"/>
      <c r="D159" s="12" t="n"/>
      <c r="E159" s="13" t="n"/>
      <c r="F159" s="13" t="n"/>
      <c r="G159" s="14">
        <f>IF(B159="","",IF(E159&lt;&gt;"","ذكر",IF(F159&lt;&gt;"","أنثى","")))</f>
        <v/>
      </c>
      <c r="H159" s="14">
        <f>IF(D159="","",DATEDIF(D159,TODAY(),"Y"))</f>
        <v/>
      </c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4">
        <f>IF(B159="","",IF(I159&lt;&gt;"","A+",IF(J159&lt;&gt;"","A-",IF(K159&lt;&gt;"","B+",IF(L159&lt;&gt;"","B-",IF(M159&lt;&gt;"","O+",IF(N159&lt;&gt;"","O-",IF(O159&lt;&gt;"","AB+",IF(P159&lt;&gt;"","AB-",""))))))))</f>
        <v/>
      </c>
      <c r="R159" s="13" t="n"/>
      <c r="S159" s="13" t="n"/>
      <c r="T159" s="13" t="n"/>
      <c r="U159" s="13" t="n"/>
      <c r="V159" s="13" t="n"/>
      <c r="W159" s="13" t="n"/>
      <c r="X159" s="14">
        <f>IF(B159="","",IF(R159&lt;&gt;"","/",IF(S159&lt;&gt;"","OPOW",IF(T159&lt;&gt;"","DJS",IF(U159&lt;&gt;"","FCS",IF(V159&lt;&gt;"","RCS",IF(W159&lt;&gt;"","POLICE","")))))))</f>
        <v/>
      </c>
      <c r="Y159" s="12" t="n"/>
      <c r="Z159" s="15">
        <f>IF(Y159="","",Y159+30)</f>
        <v/>
      </c>
      <c r="AA159" s="13" t="n"/>
      <c r="AB159" s="13" t="n"/>
      <c r="AC159" s="13" t="n"/>
      <c r="AD159" s="13" t="n"/>
      <c r="AE159" s="14">
        <f>IF(B159="","",IF(AA159&lt;&gt;"","مدفوع",IF(AB159&lt;&gt;"","لم يدفع",IF(AC159&lt;&gt;"","تأمين فقط",IF(AD159&lt;&gt;"","اشتراك 300","")))))</f>
        <v/>
      </c>
      <c r="AF159" s="16">
        <f>IF(OR(AE159="لم يدفع",B159=""),"",IF(OR(AE159="تأمين فقط",X159="FCS",X159="RCS"),0,IF(OR(AE159="اشتراك 300",X159="POLICE",X159="OPOW",X159="DJS"),300,IF(H159&lt;14,1300,1500))))</f>
        <v/>
      </c>
      <c r="AG159" s="16">
        <f>IF(OR(AE159="لم يدفع",B159=""),"",500)</f>
        <v/>
      </c>
      <c r="AH159" s="16">
        <f>IF(OR(AE159="لم يدفع",AE159="تأمين فقط",AE159="اشتراك 300",X159="OPOW",X159="DJS",X159="FCS",X159="RCS",X159="POLICE",B159=""),"",1000)</f>
        <v/>
      </c>
      <c r="AI159" s="17">
        <f>IF(AE159="لم يدفع","",IF(AF159="","",AF159+AG159))</f>
        <v/>
      </c>
      <c r="AJ159" s="18">
        <f>IF(B159="","",IF(AE159="لم يدفع","🔒 مجمدة",IF(Z159="","",IF(Z159&lt;TODAY(),"⛔ منتهي - يتطلب تجديد",IF(Z159-5&lt;=TODAY(),"⚠️ قريب الانتهاء","✅ ساري")))))</f>
        <v/>
      </c>
      <c r="AK159" s="13" t="n"/>
      <c r="AL159" s="13" t="n"/>
      <c r="AM159" s="13" t="n"/>
      <c r="AN159" s="13" t="n"/>
      <c r="AO159" s="14">
        <f>IF(B159="","",IF(AK159&lt;&gt;"","الأحد والأربعاء",IF(AL159&lt;&gt;"","الاثنين والخميس",IF(AM159&lt;&gt;"","الثلاثاء والجمعة",IF(AN159&lt;&gt;"","كل الأيام","")))))</f>
        <v/>
      </c>
      <c r="AP159" s="13" t="n"/>
      <c r="AQ159" s="13" t="n"/>
      <c r="AR159" s="13" t="n"/>
      <c r="AS159" s="13" t="n"/>
      <c r="AT159" s="14">
        <f>IF(B159="","",IF(AP159&lt;&gt;"","09:00-10:00",IF(AQ159&lt;&gt;"","10:00-11:00",IF(AR159&lt;&gt;"","19:00-20:00",IF(AS159&lt;&gt;"","20:00-21:00","")))))</f>
        <v/>
      </c>
      <c r="AU159" s="19">
        <f>IF(B159="","",COUNTA(التجديد!E159:E159))</f>
        <v/>
      </c>
    </row>
    <row r="160" ht="22" customHeight="1">
      <c r="A160" s="10">
        <f>IF(B160="","","RCS "&amp;TEXT(ROW()-2,"000"))</f>
        <v/>
      </c>
      <c r="B160" s="11" t="n"/>
      <c r="C160" s="11" t="n"/>
      <c r="D160" s="12" t="n"/>
      <c r="E160" s="13" t="n"/>
      <c r="F160" s="13" t="n"/>
      <c r="G160" s="14">
        <f>IF(B160="","",IF(E160&lt;&gt;"","ذكر",IF(F160&lt;&gt;"","أنثى","")))</f>
        <v/>
      </c>
      <c r="H160" s="14">
        <f>IF(D160="","",DATEDIF(D160,TODAY(),"Y"))</f>
        <v/>
      </c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4">
        <f>IF(B160="","",IF(I160&lt;&gt;"","A+",IF(J160&lt;&gt;"","A-",IF(K160&lt;&gt;"","B+",IF(L160&lt;&gt;"","B-",IF(M160&lt;&gt;"","O+",IF(N160&lt;&gt;"","O-",IF(O160&lt;&gt;"","AB+",IF(P160&lt;&gt;"","AB-",""))))))))</f>
        <v/>
      </c>
      <c r="R160" s="13" t="n"/>
      <c r="S160" s="13" t="n"/>
      <c r="T160" s="13" t="n"/>
      <c r="U160" s="13" t="n"/>
      <c r="V160" s="13" t="n"/>
      <c r="W160" s="13" t="n"/>
      <c r="X160" s="14">
        <f>IF(B160="","",IF(R160&lt;&gt;"","/",IF(S160&lt;&gt;"","OPOW",IF(T160&lt;&gt;"","DJS",IF(U160&lt;&gt;"","FCS",IF(V160&lt;&gt;"","RCS",IF(W160&lt;&gt;"","POLICE","")))))))</f>
        <v/>
      </c>
      <c r="Y160" s="12" t="n"/>
      <c r="Z160" s="15">
        <f>IF(Y160="","",Y160+30)</f>
        <v/>
      </c>
      <c r="AA160" s="13" t="n"/>
      <c r="AB160" s="13" t="n"/>
      <c r="AC160" s="13" t="n"/>
      <c r="AD160" s="13" t="n"/>
      <c r="AE160" s="14">
        <f>IF(B160="","",IF(AA160&lt;&gt;"","مدفوع",IF(AB160&lt;&gt;"","لم يدفع",IF(AC160&lt;&gt;"","تأمين فقط",IF(AD160&lt;&gt;"","اشتراك 300","")))))</f>
        <v/>
      </c>
      <c r="AF160" s="16">
        <f>IF(OR(AE160="لم يدفع",B160=""),"",IF(OR(AE160="تأمين فقط",X160="FCS",X160="RCS"),0,IF(OR(AE160="اشتراك 300",X160="POLICE",X160="OPOW",X160="DJS"),300,IF(H160&lt;14,1300,1500))))</f>
        <v/>
      </c>
      <c r="AG160" s="16">
        <f>IF(OR(AE160="لم يدفع",B160=""),"",500)</f>
        <v/>
      </c>
      <c r="AH160" s="16">
        <f>IF(OR(AE160="لم يدفع",AE160="تأمين فقط",AE160="اشتراك 300",X160="OPOW",X160="DJS",X160="FCS",X160="RCS",X160="POLICE",B160=""),"",1000)</f>
        <v/>
      </c>
      <c r="AI160" s="17">
        <f>IF(AE160="لم يدفع","",IF(AF160="","",AF160+AG160))</f>
        <v/>
      </c>
      <c r="AJ160" s="18">
        <f>IF(B160="","",IF(AE160="لم يدفع","🔒 مجمدة",IF(Z160="","",IF(Z160&lt;TODAY(),"⛔ منتهي - يتطلب تجديد",IF(Z160-5&lt;=TODAY(),"⚠️ قريب الانتهاء","✅ ساري")))))</f>
        <v/>
      </c>
      <c r="AK160" s="13" t="n"/>
      <c r="AL160" s="13" t="n"/>
      <c r="AM160" s="13" t="n"/>
      <c r="AN160" s="13" t="n"/>
      <c r="AO160" s="14">
        <f>IF(B160="","",IF(AK160&lt;&gt;"","الأحد والأربعاء",IF(AL160&lt;&gt;"","الاثنين والخميس",IF(AM160&lt;&gt;"","الثلاثاء والجمعة",IF(AN160&lt;&gt;"","كل الأيام","")))))</f>
        <v/>
      </c>
      <c r="AP160" s="13" t="n"/>
      <c r="AQ160" s="13" t="n"/>
      <c r="AR160" s="13" t="n"/>
      <c r="AS160" s="13" t="n"/>
      <c r="AT160" s="14">
        <f>IF(B160="","",IF(AP160&lt;&gt;"","09:00-10:00",IF(AQ160&lt;&gt;"","10:00-11:00",IF(AR160&lt;&gt;"","19:00-20:00",IF(AS160&lt;&gt;"","20:00-21:00","")))))</f>
        <v/>
      </c>
      <c r="AU160" s="19">
        <f>IF(B160="","",COUNTA(التجديد!E160:E160))</f>
        <v/>
      </c>
    </row>
    <row r="161" ht="22" customHeight="1">
      <c r="A161" s="10">
        <f>IF(B161="","","RCS "&amp;TEXT(ROW()-2,"000"))</f>
        <v/>
      </c>
      <c r="B161" s="11" t="n"/>
      <c r="C161" s="11" t="n"/>
      <c r="D161" s="12" t="n"/>
      <c r="E161" s="13" t="n"/>
      <c r="F161" s="13" t="n"/>
      <c r="G161" s="14">
        <f>IF(B161="","",IF(E161&lt;&gt;"","ذكر",IF(F161&lt;&gt;"","أنثى","")))</f>
        <v/>
      </c>
      <c r="H161" s="14">
        <f>IF(D161="","",DATEDIF(D161,TODAY(),"Y"))</f>
        <v/>
      </c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4">
        <f>IF(B161="","",IF(I161&lt;&gt;"","A+",IF(J161&lt;&gt;"","A-",IF(K161&lt;&gt;"","B+",IF(L161&lt;&gt;"","B-",IF(M161&lt;&gt;"","O+",IF(N161&lt;&gt;"","O-",IF(O161&lt;&gt;"","AB+",IF(P161&lt;&gt;"","AB-",""))))))))</f>
        <v/>
      </c>
      <c r="R161" s="13" t="n"/>
      <c r="S161" s="13" t="n"/>
      <c r="T161" s="13" t="n"/>
      <c r="U161" s="13" t="n"/>
      <c r="V161" s="13" t="n"/>
      <c r="W161" s="13" t="n"/>
      <c r="X161" s="14">
        <f>IF(B161="","",IF(R161&lt;&gt;"","/",IF(S161&lt;&gt;"","OPOW",IF(T161&lt;&gt;"","DJS",IF(U161&lt;&gt;"","FCS",IF(V161&lt;&gt;"","RCS",IF(W161&lt;&gt;"","POLICE","")))))))</f>
        <v/>
      </c>
      <c r="Y161" s="12" t="n"/>
      <c r="Z161" s="15">
        <f>IF(Y161="","",Y161+30)</f>
        <v/>
      </c>
      <c r="AA161" s="13" t="n"/>
      <c r="AB161" s="13" t="n"/>
      <c r="AC161" s="13" t="n"/>
      <c r="AD161" s="13" t="n"/>
      <c r="AE161" s="14">
        <f>IF(B161="","",IF(AA161&lt;&gt;"","مدفوع",IF(AB161&lt;&gt;"","لم يدفع",IF(AC161&lt;&gt;"","تأمين فقط",IF(AD161&lt;&gt;"","اشتراك 300","")))))</f>
        <v/>
      </c>
      <c r="AF161" s="16">
        <f>IF(OR(AE161="لم يدفع",B161=""),"",IF(OR(AE161="تأمين فقط",X161="FCS",X161="RCS"),0,IF(OR(AE161="اشتراك 300",X161="POLICE",X161="OPOW",X161="DJS"),300,IF(H161&lt;14,1300,1500))))</f>
        <v/>
      </c>
      <c r="AG161" s="16">
        <f>IF(OR(AE161="لم يدفع",B161=""),"",500)</f>
        <v/>
      </c>
      <c r="AH161" s="16">
        <f>IF(OR(AE161="لم يدفع",AE161="تأمين فقط",AE161="اشتراك 300",X161="OPOW",X161="DJS",X161="FCS",X161="RCS",X161="POLICE",B161=""),"",1000)</f>
        <v/>
      </c>
      <c r="AI161" s="17">
        <f>IF(AE161="لم يدفع","",IF(AF161="","",AF161+AG161))</f>
        <v/>
      </c>
      <c r="AJ161" s="18">
        <f>IF(B161="","",IF(AE161="لم يدفع","🔒 مجمدة",IF(Z161="","",IF(Z161&lt;TODAY(),"⛔ منتهي - يتطلب تجديد",IF(Z161-5&lt;=TODAY(),"⚠️ قريب الانتهاء","✅ ساري")))))</f>
        <v/>
      </c>
      <c r="AK161" s="13" t="n"/>
      <c r="AL161" s="13" t="n"/>
      <c r="AM161" s="13" t="n"/>
      <c r="AN161" s="13" t="n"/>
      <c r="AO161" s="14">
        <f>IF(B161="","",IF(AK161&lt;&gt;"","الأحد والأربعاء",IF(AL161&lt;&gt;"","الاثنين والخميس",IF(AM161&lt;&gt;"","الثلاثاء والجمعة",IF(AN161&lt;&gt;"","كل الأيام","")))))</f>
        <v/>
      </c>
      <c r="AP161" s="13" t="n"/>
      <c r="AQ161" s="13" t="n"/>
      <c r="AR161" s="13" t="n"/>
      <c r="AS161" s="13" t="n"/>
      <c r="AT161" s="14">
        <f>IF(B161="","",IF(AP161&lt;&gt;"","09:00-10:00",IF(AQ161&lt;&gt;"","10:00-11:00",IF(AR161&lt;&gt;"","19:00-20:00",IF(AS161&lt;&gt;"","20:00-21:00","")))))</f>
        <v/>
      </c>
      <c r="AU161" s="19">
        <f>IF(B161="","",COUNTA(التجديد!E161:E161))</f>
        <v/>
      </c>
    </row>
    <row r="162" ht="22" customHeight="1">
      <c r="A162" s="10">
        <f>IF(B162="","","RCS "&amp;TEXT(ROW()-2,"000"))</f>
        <v/>
      </c>
      <c r="B162" s="11" t="n"/>
      <c r="C162" s="11" t="n"/>
      <c r="D162" s="12" t="n"/>
      <c r="E162" s="13" t="n"/>
      <c r="F162" s="13" t="n"/>
      <c r="G162" s="14">
        <f>IF(B162="","",IF(E162&lt;&gt;"","ذكر",IF(F162&lt;&gt;"","أنثى","")))</f>
        <v/>
      </c>
      <c r="H162" s="14">
        <f>IF(D162="","",DATEDIF(D162,TODAY(),"Y"))</f>
        <v/>
      </c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4">
        <f>IF(B162="","",IF(I162&lt;&gt;"","A+",IF(J162&lt;&gt;"","A-",IF(K162&lt;&gt;"","B+",IF(L162&lt;&gt;"","B-",IF(M162&lt;&gt;"","O+",IF(N162&lt;&gt;"","O-",IF(O162&lt;&gt;"","AB+",IF(P162&lt;&gt;"","AB-",""))))))))</f>
        <v/>
      </c>
      <c r="R162" s="13" t="n"/>
      <c r="S162" s="13" t="n"/>
      <c r="T162" s="13" t="n"/>
      <c r="U162" s="13" t="n"/>
      <c r="V162" s="13" t="n"/>
      <c r="W162" s="13" t="n"/>
      <c r="X162" s="14">
        <f>IF(B162="","",IF(R162&lt;&gt;"","/",IF(S162&lt;&gt;"","OPOW",IF(T162&lt;&gt;"","DJS",IF(U162&lt;&gt;"","FCS",IF(V162&lt;&gt;"","RCS",IF(W162&lt;&gt;"","POLICE","")))))))</f>
        <v/>
      </c>
      <c r="Y162" s="12" t="n"/>
      <c r="Z162" s="15">
        <f>IF(Y162="","",Y162+30)</f>
        <v/>
      </c>
      <c r="AA162" s="13" t="n"/>
      <c r="AB162" s="13" t="n"/>
      <c r="AC162" s="13" t="n"/>
      <c r="AD162" s="13" t="n"/>
      <c r="AE162" s="14">
        <f>IF(B162="","",IF(AA162&lt;&gt;"","مدفوع",IF(AB162&lt;&gt;"","لم يدفع",IF(AC162&lt;&gt;"","تأمين فقط",IF(AD162&lt;&gt;"","اشتراك 300","")))))</f>
        <v/>
      </c>
      <c r="AF162" s="16">
        <f>IF(OR(AE162="لم يدفع",B162=""),"",IF(OR(AE162="تأمين فقط",X162="FCS",X162="RCS"),0,IF(OR(AE162="اشتراك 300",X162="POLICE",X162="OPOW",X162="DJS"),300,IF(H162&lt;14,1300,1500))))</f>
        <v/>
      </c>
      <c r="AG162" s="16">
        <f>IF(OR(AE162="لم يدفع",B162=""),"",500)</f>
        <v/>
      </c>
      <c r="AH162" s="16">
        <f>IF(OR(AE162="لم يدفع",AE162="تأمين فقط",AE162="اشتراك 300",X162="OPOW",X162="DJS",X162="FCS",X162="RCS",X162="POLICE",B162=""),"",1000)</f>
        <v/>
      </c>
      <c r="AI162" s="17">
        <f>IF(AE162="لم يدفع","",IF(AF162="","",AF162+AG162))</f>
        <v/>
      </c>
      <c r="AJ162" s="18">
        <f>IF(B162="","",IF(AE162="لم يدفع","🔒 مجمدة",IF(Z162="","",IF(Z162&lt;TODAY(),"⛔ منتهي - يتطلب تجديد",IF(Z162-5&lt;=TODAY(),"⚠️ قريب الانتهاء","✅ ساري")))))</f>
        <v/>
      </c>
      <c r="AK162" s="13" t="n"/>
      <c r="AL162" s="13" t="n"/>
      <c r="AM162" s="13" t="n"/>
      <c r="AN162" s="13" t="n"/>
      <c r="AO162" s="14">
        <f>IF(B162="","",IF(AK162&lt;&gt;"","الأحد والأربعاء",IF(AL162&lt;&gt;"","الاثنين والخميس",IF(AM162&lt;&gt;"","الثلاثاء والجمعة",IF(AN162&lt;&gt;"","كل الأيام","")))))</f>
        <v/>
      </c>
      <c r="AP162" s="13" t="n"/>
      <c r="AQ162" s="13" t="n"/>
      <c r="AR162" s="13" t="n"/>
      <c r="AS162" s="13" t="n"/>
      <c r="AT162" s="14">
        <f>IF(B162="","",IF(AP162&lt;&gt;"","09:00-10:00",IF(AQ162&lt;&gt;"","10:00-11:00",IF(AR162&lt;&gt;"","19:00-20:00",IF(AS162&lt;&gt;"","20:00-21:00","")))))</f>
        <v/>
      </c>
      <c r="AU162" s="19">
        <f>IF(B162="","",COUNTA(التجديد!E162:E162))</f>
        <v/>
      </c>
    </row>
    <row r="163" ht="22" customHeight="1">
      <c r="A163" s="10">
        <f>IF(B163="","","RCS "&amp;TEXT(ROW()-2,"000"))</f>
        <v/>
      </c>
      <c r="B163" s="11" t="n"/>
      <c r="C163" s="11" t="n"/>
      <c r="D163" s="12" t="n"/>
      <c r="E163" s="13" t="n"/>
      <c r="F163" s="13" t="n"/>
      <c r="G163" s="14">
        <f>IF(B163="","",IF(E163&lt;&gt;"","ذكر",IF(F163&lt;&gt;"","أنثى","")))</f>
        <v/>
      </c>
      <c r="H163" s="14">
        <f>IF(D163="","",DATEDIF(D163,TODAY(),"Y"))</f>
        <v/>
      </c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4">
        <f>IF(B163="","",IF(I163&lt;&gt;"","A+",IF(J163&lt;&gt;"","A-",IF(K163&lt;&gt;"","B+",IF(L163&lt;&gt;"","B-",IF(M163&lt;&gt;"","O+",IF(N163&lt;&gt;"","O-",IF(O163&lt;&gt;"","AB+",IF(P163&lt;&gt;"","AB-",""))))))))</f>
        <v/>
      </c>
      <c r="R163" s="13" t="n"/>
      <c r="S163" s="13" t="n"/>
      <c r="T163" s="13" t="n"/>
      <c r="U163" s="13" t="n"/>
      <c r="V163" s="13" t="n"/>
      <c r="W163" s="13" t="n"/>
      <c r="X163" s="14">
        <f>IF(B163="","",IF(R163&lt;&gt;"","/",IF(S163&lt;&gt;"","OPOW",IF(T163&lt;&gt;"","DJS",IF(U163&lt;&gt;"","FCS",IF(V163&lt;&gt;"","RCS",IF(W163&lt;&gt;"","POLICE","")))))))</f>
        <v/>
      </c>
      <c r="Y163" s="12" t="n"/>
      <c r="Z163" s="15">
        <f>IF(Y163="","",Y163+30)</f>
        <v/>
      </c>
      <c r="AA163" s="13" t="n"/>
      <c r="AB163" s="13" t="n"/>
      <c r="AC163" s="13" t="n"/>
      <c r="AD163" s="13" t="n"/>
      <c r="AE163" s="14">
        <f>IF(B163="","",IF(AA163&lt;&gt;"","مدفوع",IF(AB163&lt;&gt;"","لم يدفع",IF(AC163&lt;&gt;"","تأمين فقط",IF(AD163&lt;&gt;"","اشتراك 300","")))))</f>
        <v/>
      </c>
      <c r="AF163" s="16">
        <f>IF(OR(AE163="لم يدفع",B163=""),"",IF(OR(AE163="تأمين فقط",X163="FCS",X163="RCS"),0,IF(OR(AE163="اشتراك 300",X163="POLICE",X163="OPOW",X163="DJS"),300,IF(H163&lt;14,1300,1500))))</f>
        <v/>
      </c>
      <c r="AG163" s="16">
        <f>IF(OR(AE163="لم يدفع",B163=""),"",500)</f>
        <v/>
      </c>
      <c r="AH163" s="16">
        <f>IF(OR(AE163="لم يدفع",AE163="تأمين فقط",AE163="اشتراك 300",X163="OPOW",X163="DJS",X163="FCS",X163="RCS",X163="POLICE",B163=""),"",1000)</f>
        <v/>
      </c>
      <c r="AI163" s="17">
        <f>IF(AE163="لم يدفع","",IF(AF163="","",AF163+AG163))</f>
        <v/>
      </c>
      <c r="AJ163" s="18">
        <f>IF(B163="","",IF(AE163="لم يدفع","🔒 مجمدة",IF(Z163="","",IF(Z163&lt;TODAY(),"⛔ منتهي - يتطلب تجديد",IF(Z163-5&lt;=TODAY(),"⚠️ قريب الانتهاء","✅ ساري")))))</f>
        <v/>
      </c>
      <c r="AK163" s="13" t="n"/>
      <c r="AL163" s="13" t="n"/>
      <c r="AM163" s="13" t="n"/>
      <c r="AN163" s="13" t="n"/>
      <c r="AO163" s="14">
        <f>IF(B163="","",IF(AK163&lt;&gt;"","الأحد والأربعاء",IF(AL163&lt;&gt;"","الاثنين والخميس",IF(AM163&lt;&gt;"","الثلاثاء والجمعة",IF(AN163&lt;&gt;"","كل الأيام","")))))</f>
        <v/>
      </c>
      <c r="AP163" s="13" t="n"/>
      <c r="AQ163" s="13" t="n"/>
      <c r="AR163" s="13" t="n"/>
      <c r="AS163" s="13" t="n"/>
      <c r="AT163" s="14">
        <f>IF(B163="","",IF(AP163&lt;&gt;"","09:00-10:00",IF(AQ163&lt;&gt;"","10:00-11:00",IF(AR163&lt;&gt;"","19:00-20:00",IF(AS163&lt;&gt;"","20:00-21:00","")))))</f>
        <v/>
      </c>
      <c r="AU163" s="19">
        <f>IF(B163="","",COUNTA(التجديد!E163:E163))</f>
        <v/>
      </c>
    </row>
    <row r="164" ht="22" customHeight="1">
      <c r="A164" s="10">
        <f>IF(B164="","","RCS "&amp;TEXT(ROW()-2,"000"))</f>
        <v/>
      </c>
      <c r="B164" s="11" t="n"/>
      <c r="C164" s="11" t="n"/>
      <c r="D164" s="12" t="n"/>
      <c r="E164" s="13" t="n"/>
      <c r="F164" s="13" t="n"/>
      <c r="G164" s="14">
        <f>IF(B164="","",IF(E164&lt;&gt;"","ذكر",IF(F164&lt;&gt;"","أنثى","")))</f>
        <v/>
      </c>
      <c r="H164" s="14">
        <f>IF(D164="","",DATEDIF(D164,TODAY(),"Y"))</f>
        <v/>
      </c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4">
        <f>IF(B164="","",IF(I164&lt;&gt;"","A+",IF(J164&lt;&gt;"","A-",IF(K164&lt;&gt;"","B+",IF(L164&lt;&gt;"","B-",IF(M164&lt;&gt;"","O+",IF(N164&lt;&gt;"","O-",IF(O164&lt;&gt;"","AB+",IF(P164&lt;&gt;"","AB-",""))))))))</f>
        <v/>
      </c>
      <c r="R164" s="13" t="n"/>
      <c r="S164" s="13" t="n"/>
      <c r="T164" s="13" t="n"/>
      <c r="U164" s="13" t="n"/>
      <c r="V164" s="13" t="n"/>
      <c r="W164" s="13" t="n"/>
      <c r="X164" s="14">
        <f>IF(B164="","",IF(R164&lt;&gt;"","/",IF(S164&lt;&gt;"","OPOW",IF(T164&lt;&gt;"","DJS",IF(U164&lt;&gt;"","FCS",IF(V164&lt;&gt;"","RCS",IF(W164&lt;&gt;"","POLICE","")))))))</f>
        <v/>
      </c>
      <c r="Y164" s="12" t="n"/>
      <c r="Z164" s="15">
        <f>IF(Y164="","",Y164+30)</f>
        <v/>
      </c>
      <c r="AA164" s="13" t="n"/>
      <c r="AB164" s="13" t="n"/>
      <c r="AC164" s="13" t="n"/>
      <c r="AD164" s="13" t="n"/>
      <c r="AE164" s="14">
        <f>IF(B164="","",IF(AA164&lt;&gt;"","مدفوع",IF(AB164&lt;&gt;"","لم يدفع",IF(AC164&lt;&gt;"","تأمين فقط",IF(AD164&lt;&gt;"","اشتراك 300","")))))</f>
        <v/>
      </c>
      <c r="AF164" s="16">
        <f>IF(OR(AE164="لم يدفع",B164=""),"",IF(OR(AE164="تأمين فقط",X164="FCS",X164="RCS"),0,IF(OR(AE164="اشتراك 300",X164="POLICE",X164="OPOW",X164="DJS"),300,IF(H164&lt;14,1300,1500))))</f>
        <v/>
      </c>
      <c r="AG164" s="16">
        <f>IF(OR(AE164="لم يدفع",B164=""),"",500)</f>
        <v/>
      </c>
      <c r="AH164" s="16">
        <f>IF(OR(AE164="لم يدفع",AE164="تأمين فقط",AE164="اشتراك 300",X164="OPOW",X164="DJS",X164="FCS",X164="RCS",X164="POLICE",B164=""),"",1000)</f>
        <v/>
      </c>
      <c r="AI164" s="17">
        <f>IF(AE164="لم يدفع","",IF(AF164="","",AF164+AG164))</f>
        <v/>
      </c>
      <c r="AJ164" s="18">
        <f>IF(B164="","",IF(AE164="لم يدفع","🔒 مجمدة",IF(Z164="","",IF(Z164&lt;TODAY(),"⛔ منتهي - يتطلب تجديد",IF(Z164-5&lt;=TODAY(),"⚠️ قريب الانتهاء","✅ ساري")))))</f>
        <v/>
      </c>
      <c r="AK164" s="13" t="n"/>
      <c r="AL164" s="13" t="n"/>
      <c r="AM164" s="13" t="n"/>
      <c r="AN164" s="13" t="n"/>
      <c r="AO164" s="14">
        <f>IF(B164="","",IF(AK164&lt;&gt;"","الأحد والأربعاء",IF(AL164&lt;&gt;"","الاثنين والخميس",IF(AM164&lt;&gt;"","الثلاثاء والجمعة",IF(AN164&lt;&gt;"","كل الأيام","")))))</f>
        <v/>
      </c>
      <c r="AP164" s="13" t="n"/>
      <c r="AQ164" s="13" t="n"/>
      <c r="AR164" s="13" t="n"/>
      <c r="AS164" s="13" t="n"/>
      <c r="AT164" s="14">
        <f>IF(B164="","",IF(AP164&lt;&gt;"","09:00-10:00",IF(AQ164&lt;&gt;"","10:00-11:00",IF(AR164&lt;&gt;"","19:00-20:00",IF(AS164&lt;&gt;"","20:00-21:00","")))))</f>
        <v/>
      </c>
      <c r="AU164" s="19">
        <f>IF(B164="","",COUNTA(التجديد!E164:E164))</f>
        <v/>
      </c>
    </row>
    <row r="165" ht="22" customHeight="1">
      <c r="A165" s="10">
        <f>IF(B165="","","RCS "&amp;TEXT(ROW()-2,"000"))</f>
        <v/>
      </c>
      <c r="B165" s="11" t="n"/>
      <c r="C165" s="11" t="n"/>
      <c r="D165" s="12" t="n"/>
      <c r="E165" s="13" t="n"/>
      <c r="F165" s="13" t="n"/>
      <c r="G165" s="14">
        <f>IF(B165="","",IF(E165&lt;&gt;"","ذكر",IF(F165&lt;&gt;"","أنثى","")))</f>
        <v/>
      </c>
      <c r="H165" s="14">
        <f>IF(D165="","",DATEDIF(D165,TODAY(),"Y"))</f>
        <v/>
      </c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4">
        <f>IF(B165="","",IF(I165&lt;&gt;"","A+",IF(J165&lt;&gt;"","A-",IF(K165&lt;&gt;"","B+",IF(L165&lt;&gt;"","B-",IF(M165&lt;&gt;"","O+",IF(N165&lt;&gt;"","O-",IF(O165&lt;&gt;"","AB+",IF(P165&lt;&gt;"","AB-",""))))))))</f>
        <v/>
      </c>
      <c r="R165" s="13" t="n"/>
      <c r="S165" s="13" t="n"/>
      <c r="T165" s="13" t="n"/>
      <c r="U165" s="13" t="n"/>
      <c r="V165" s="13" t="n"/>
      <c r="W165" s="13" t="n"/>
      <c r="X165" s="14">
        <f>IF(B165="","",IF(R165&lt;&gt;"","/",IF(S165&lt;&gt;"","OPOW",IF(T165&lt;&gt;"","DJS",IF(U165&lt;&gt;"","FCS",IF(V165&lt;&gt;"","RCS",IF(W165&lt;&gt;"","POLICE","")))))))</f>
        <v/>
      </c>
      <c r="Y165" s="12" t="n"/>
      <c r="Z165" s="15">
        <f>IF(Y165="","",Y165+30)</f>
        <v/>
      </c>
      <c r="AA165" s="13" t="n"/>
      <c r="AB165" s="13" t="n"/>
      <c r="AC165" s="13" t="n"/>
      <c r="AD165" s="13" t="n"/>
      <c r="AE165" s="14">
        <f>IF(B165="","",IF(AA165&lt;&gt;"","مدفوع",IF(AB165&lt;&gt;"","لم يدفع",IF(AC165&lt;&gt;"","تأمين فقط",IF(AD165&lt;&gt;"","اشتراك 300","")))))</f>
        <v/>
      </c>
      <c r="AF165" s="16">
        <f>IF(OR(AE165="لم يدفع",B165=""),"",IF(OR(AE165="تأمين فقط",X165="FCS",X165="RCS"),0,IF(OR(AE165="اشتراك 300",X165="POLICE",X165="OPOW",X165="DJS"),300,IF(H165&lt;14,1300,1500))))</f>
        <v/>
      </c>
      <c r="AG165" s="16">
        <f>IF(OR(AE165="لم يدفع",B165=""),"",500)</f>
        <v/>
      </c>
      <c r="AH165" s="16">
        <f>IF(OR(AE165="لم يدفع",AE165="تأمين فقط",AE165="اشتراك 300",X165="OPOW",X165="DJS",X165="FCS",X165="RCS",X165="POLICE",B165=""),"",1000)</f>
        <v/>
      </c>
      <c r="AI165" s="17">
        <f>IF(AE165="لم يدفع","",IF(AF165="","",AF165+AG165))</f>
        <v/>
      </c>
      <c r="AJ165" s="18">
        <f>IF(B165="","",IF(AE165="لم يدفع","🔒 مجمدة",IF(Z165="","",IF(Z165&lt;TODAY(),"⛔ منتهي - يتطلب تجديد",IF(Z165-5&lt;=TODAY(),"⚠️ قريب الانتهاء","✅ ساري")))))</f>
        <v/>
      </c>
      <c r="AK165" s="13" t="n"/>
      <c r="AL165" s="13" t="n"/>
      <c r="AM165" s="13" t="n"/>
      <c r="AN165" s="13" t="n"/>
      <c r="AO165" s="14">
        <f>IF(B165="","",IF(AK165&lt;&gt;"","الأحد والأربعاء",IF(AL165&lt;&gt;"","الاثنين والخميس",IF(AM165&lt;&gt;"","الثلاثاء والجمعة",IF(AN165&lt;&gt;"","كل الأيام","")))))</f>
        <v/>
      </c>
      <c r="AP165" s="13" t="n"/>
      <c r="AQ165" s="13" t="n"/>
      <c r="AR165" s="13" t="n"/>
      <c r="AS165" s="13" t="n"/>
      <c r="AT165" s="14">
        <f>IF(B165="","",IF(AP165&lt;&gt;"","09:00-10:00",IF(AQ165&lt;&gt;"","10:00-11:00",IF(AR165&lt;&gt;"","19:00-20:00",IF(AS165&lt;&gt;"","20:00-21:00","")))))</f>
        <v/>
      </c>
      <c r="AU165" s="19">
        <f>IF(B165="","",COUNTA(التجديد!E165:E165))</f>
        <v/>
      </c>
    </row>
    <row r="166" ht="22" customHeight="1">
      <c r="A166" s="10">
        <f>IF(B166="","","RCS "&amp;TEXT(ROW()-2,"000"))</f>
        <v/>
      </c>
      <c r="B166" s="11" t="n"/>
      <c r="C166" s="11" t="n"/>
      <c r="D166" s="12" t="n"/>
      <c r="E166" s="13" t="n"/>
      <c r="F166" s="13" t="n"/>
      <c r="G166" s="14">
        <f>IF(B166="","",IF(E166&lt;&gt;"","ذكر",IF(F166&lt;&gt;"","أنثى","")))</f>
        <v/>
      </c>
      <c r="H166" s="14">
        <f>IF(D166="","",DATEDIF(D166,TODAY(),"Y"))</f>
        <v/>
      </c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4">
        <f>IF(B166="","",IF(I166&lt;&gt;"","A+",IF(J166&lt;&gt;"","A-",IF(K166&lt;&gt;"","B+",IF(L166&lt;&gt;"","B-",IF(M166&lt;&gt;"","O+",IF(N166&lt;&gt;"","O-",IF(O166&lt;&gt;"","AB+",IF(P166&lt;&gt;"","AB-",""))))))))</f>
        <v/>
      </c>
      <c r="R166" s="13" t="n"/>
      <c r="S166" s="13" t="n"/>
      <c r="T166" s="13" t="n"/>
      <c r="U166" s="13" t="n"/>
      <c r="V166" s="13" t="n"/>
      <c r="W166" s="13" t="n"/>
      <c r="X166" s="14">
        <f>IF(B166="","",IF(R166&lt;&gt;"","/",IF(S166&lt;&gt;"","OPOW",IF(T166&lt;&gt;"","DJS",IF(U166&lt;&gt;"","FCS",IF(V166&lt;&gt;"","RCS",IF(W166&lt;&gt;"","POLICE","")))))))</f>
        <v/>
      </c>
      <c r="Y166" s="12" t="n"/>
      <c r="Z166" s="15">
        <f>IF(Y166="","",Y166+30)</f>
        <v/>
      </c>
      <c r="AA166" s="13" t="n"/>
      <c r="AB166" s="13" t="n"/>
      <c r="AC166" s="13" t="n"/>
      <c r="AD166" s="13" t="n"/>
      <c r="AE166" s="14">
        <f>IF(B166="","",IF(AA166&lt;&gt;"","مدفوع",IF(AB166&lt;&gt;"","لم يدفع",IF(AC166&lt;&gt;"","تأمين فقط",IF(AD166&lt;&gt;"","اشتراك 300","")))))</f>
        <v/>
      </c>
      <c r="AF166" s="16">
        <f>IF(OR(AE166="لم يدفع",B166=""),"",IF(OR(AE166="تأمين فقط",X166="FCS",X166="RCS"),0,IF(OR(AE166="اشتراك 300",X166="POLICE",X166="OPOW",X166="DJS"),300,IF(H166&lt;14,1300,1500))))</f>
        <v/>
      </c>
      <c r="AG166" s="16">
        <f>IF(OR(AE166="لم يدفع",B166=""),"",500)</f>
        <v/>
      </c>
      <c r="AH166" s="16">
        <f>IF(OR(AE166="لم يدفع",AE166="تأمين فقط",AE166="اشتراك 300",X166="OPOW",X166="DJS",X166="FCS",X166="RCS",X166="POLICE",B166=""),"",1000)</f>
        <v/>
      </c>
      <c r="AI166" s="17">
        <f>IF(AE166="لم يدفع","",IF(AF166="","",AF166+AG166))</f>
        <v/>
      </c>
      <c r="AJ166" s="18">
        <f>IF(B166="","",IF(AE166="لم يدفع","🔒 مجمدة",IF(Z166="","",IF(Z166&lt;TODAY(),"⛔ منتهي - يتطلب تجديد",IF(Z166-5&lt;=TODAY(),"⚠️ قريب الانتهاء","✅ ساري")))))</f>
        <v/>
      </c>
      <c r="AK166" s="13" t="n"/>
      <c r="AL166" s="13" t="n"/>
      <c r="AM166" s="13" t="n"/>
      <c r="AN166" s="13" t="n"/>
      <c r="AO166" s="14">
        <f>IF(B166="","",IF(AK166&lt;&gt;"","الأحد والأربعاء",IF(AL166&lt;&gt;"","الاثنين والخميس",IF(AM166&lt;&gt;"","الثلاثاء والجمعة",IF(AN166&lt;&gt;"","كل الأيام","")))))</f>
        <v/>
      </c>
      <c r="AP166" s="13" t="n"/>
      <c r="AQ166" s="13" t="n"/>
      <c r="AR166" s="13" t="n"/>
      <c r="AS166" s="13" t="n"/>
      <c r="AT166" s="14">
        <f>IF(B166="","",IF(AP166&lt;&gt;"","09:00-10:00",IF(AQ166&lt;&gt;"","10:00-11:00",IF(AR166&lt;&gt;"","19:00-20:00",IF(AS166&lt;&gt;"","20:00-21:00","")))))</f>
        <v/>
      </c>
      <c r="AU166" s="19">
        <f>IF(B166="","",COUNTA(التجديد!E166:E166))</f>
        <v/>
      </c>
    </row>
    <row r="167" ht="22" customHeight="1">
      <c r="A167" s="10">
        <f>IF(B167="","","RCS "&amp;TEXT(ROW()-2,"000"))</f>
        <v/>
      </c>
      <c r="B167" s="11" t="n"/>
      <c r="C167" s="11" t="n"/>
      <c r="D167" s="12" t="n"/>
      <c r="E167" s="13" t="n"/>
      <c r="F167" s="13" t="n"/>
      <c r="G167" s="14">
        <f>IF(B167="","",IF(E167&lt;&gt;"","ذكر",IF(F167&lt;&gt;"","أنثى","")))</f>
        <v/>
      </c>
      <c r="H167" s="14">
        <f>IF(D167="","",DATEDIF(D167,TODAY(),"Y"))</f>
        <v/>
      </c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4">
        <f>IF(B167="","",IF(I167&lt;&gt;"","A+",IF(J167&lt;&gt;"","A-",IF(K167&lt;&gt;"","B+",IF(L167&lt;&gt;"","B-",IF(M167&lt;&gt;"","O+",IF(N167&lt;&gt;"","O-",IF(O167&lt;&gt;"","AB+",IF(P167&lt;&gt;"","AB-",""))))))))</f>
        <v/>
      </c>
      <c r="R167" s="13" t="n"/>
      <c r="S167" s="13" t="n"/>
      <c r="T167" s="13" t="n"/>
      <c r="U167" s="13" t="n"/>
      <c r="V167" s="13" t="n"/>
      <c r="W167" s="13" t="n"/>
      <c r="X167" s="14">
        <f>IF(B167="","",IF(R167&lt;&gt;"","/",IF(S167&lt;&gt;"","OPOW",IF(T167&lt;&gt;"","DJS",IF(U167&lt;&gt;"","FCS",IF(V167&lt;&gt;"","RCS",IF(W167&lt;&gt;"","POLICE","")))))))</f>
        <v/>
      </c>
      <c r="Y167" s="12" t="n"/>
      <c r="Z167" s="15">
        <f>IF(Y167="","",Y167+30)</f>
        <v/>
      </c>
      <c r="AA167" s="13" t="n"/>
      <c r="AB167" s="13" t="n"/>
      <c r="AC167" s="13" t="n"/>
      <c r="AD167" s="13" t="n"/>
      <c r="AE167" s="14">
        <f>IF(B167="","",IF(AA167&lt;&gt;"","مدفوع",IF(AB167&lt;&gt;"","لم يدفع",IF(AC167&lt;&gt;"","تأمين فقط",IF(AD167&lt;&gt;"","اشتراك 300","")))))</f>
        <v/>
      </c>
      <c r="AF167" s="16">
        <f>IF(OR(AE167="لم يدفع",B167=""),"",IF(OR(AE167="تأمين فقط",X167="FCS",X167="RCS"),0,IF(OR(AE167="اشتراك 300",X167="POLICE",X167="OPOW",X167="DJS"),300,IF(H167&lt;14,1300,1500))))</f>
        <v/>
      </c>
      <c r="AG167" s="16">
        <f>IF(OR(AE167="لم يدفع",B167=""),"",500)</f>
        <v/>
      </c>
      <c r="AH167" s="16">
        <f>IF(OR(AE167="لم يدفع",AE167="تأمين فقط",AE167="اشتراك 300",X167="OPOW",X167="DJS",X167="FCS",X167="RCS",X167="POLICE",B167=""),"",1000)</f>
        <v/>
      </c>
      <c r="AI167" s="17">
        <f>IF(AE167="لم يدفع","",IF(AF167="","",AF167+AG167))</f>
        <v/>
      </c>
      <c r="AJ167" s="18">
        <f>IF(B167="","",IF(AE167="لم يدفع","🔒 مجمدة",IF(Z167="","",IF(Z167&lt;TODAY(),"⛔ منتهي - يتطلب تجديد",IF(Z167-5&lt;=TODAY(),"⚠️ قريب الانتهاء","✅ ساري")))))</f>
        <v/>
      </c>
      <c r="AK167" s="13" t="n"/>
      <c r="AL167" s="13" t="n"/>
      <c r="AM167" s="13" t="n"/>
      <c r="AN167" s="13" t="n"/>
      <c r="AO167" s="14">
        <f>IF(B167="","",IF(AK167&lt;&gt;"","الأحد والأربعاء",IF(AL167&lt;&gt;"","الاثنين والخميس",IF(AM167&lt;&gt;"","الثلاثاء والجمعة",IF(AN167&lt;&gt;"","كل الأيام","")))))</f>
        <v/>
      </c>
      <c r="AP167" s="13" t="n"/>
      <c r="AQ167" s="13" t="n"/>
      <c r="AR167" s="13" t="n"/>
      <c r="AS167" s="13" t="n"/>
      <c r="AT167" s="14">
        <f>IF(B167="","",IF(AP167&lt;&gt;"","09:00-10:00",IF(AQ167&lt;&gt;"","10:00-11:00",IF(AR167&lt;&gt;"","19:00-20:00",IF(AS167&lt;&gt;"","20:00-21:00","")))))</f>
        <v/>
      </c>
      <c r="AU167" s="19">
        <f>IF(B167="","",COUNTA(التجديد!E167:E167))</f>
        <v/>
      </c>
    </row>
    <row r="168" ht="22" customHeight="1">
      <c r="A168" s="10">
        <f>IF(B168="","","RCS "&amp;TEXT(ROW()-2,"000"))</f>
        <v/>
      </c>
      <c r="B168" s="11" t="n"/>
      <c r="C168" s="11" t="n"/>
      <c r="D168" s="12" t="n"/>
      <c r="E168" s="13" t="n"/>
      <c r="F168" s="13" t="n"/>
      <c r="G168" s="14">
        <f>IF(B168="","",IF(E168&lt;&gt;"","ذكر",IF(F168&lt;&gt;"","أنثى","")))</f>
        <v/>
      </c>
      <c r="H168" s="14">
        <f>IF(D168="","",DATEDIF(D168,TODAY(),"Y"))</f>
        <v/>
      </c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4">
        <f>IF(B168="","",IF(I168&lt;&gt;"","A+",IF(J168&lt;&gt;"","A-",IF(K168&lt;&gt;"","B+",IF(L168&lt;&gt;"","B-",IF(M168&lt;&gt;"","O+",IF(N168&lt;&gt;"","O-",IF(O168&lt;&gt;"","AB+",IF(P168&lt;&gt;"","AB-",""))))))))</f>
        <v/>
      </c>
      <c r="R168" s="13" t="n"/>
      <c r="S168" s="13" t="n"/>
      <c r="T168" s="13" t="n"/>
      <c r="U168" s="13" t="n"/>
      <c r="V168" s="13" t="n"/>
      <c r="W168" s="13" t="n"/>
      <c r="X168" s="14">
        <f>IF(B168="","",IF(R168&lt;&gt;"","/",IF(S168&lt;&gt;"","OPOW",IF(T168&lt;&gt;"","DJS",IF(U168&lt;&gt;"","FCS",IF(V168&lt;&gt;"","RCS",IF(W168&lt;&gt;"","POLICE","")))))))</f>
        <v/>
      </c>
      <c r="Y168" s="12" t="n"/>
      <c r="Z168" s="15">
        <f>IF(Y168="","",Y168+30)</f>
        <v/>
      </c>
      <c r="AA168" s="13" t="n"/>
      <c r="AB168" s="13" t="n"/>
      <c r="AC168" s="13" t="n"/>
      <c r="AD168" s="13" t="n"/>
      <c r="AE168" s="14">
        <f>IF(B168="","",IF(AA168&lt;&gt;"","مدفوع",IF(AB168&lt;&gt;"","لم يدفع",IF(AC168&lt;&gt;"","تأمين فقط",IF(AD168&lt;&gt;"","اشتراك 300","")))))</f>
        <v/>
      </c>
      <c r="AF168" s="16">
        <f>IF(OR(AE168="لم يدفع",B168=""),"",IF(OR(AE168="تأمين فقط",X168="FCS",X168="RCS"),0,IF(OR(AE168="اشتراك 300",X168="POLICE",X168="OPOW",X168="DJS"),300,IF(H168&lt;14,1300,1500))))</f>
        <v/>
      </c>
      <c r="AG168" s="16">
        <f>IF(OR(AE168="لم يدفع",B168=""),"",500)</f>
        <v/>
      </c>
      <c r="AH168" s="16">
        <f>IF(OR(AE168="لم يدفع",AE168="تأمين فقط",AE168="اشتراك 300",X168="OPOW",X168="DJS",X168="FCS",X168="RCS",X168="POLICE",B168=""),"",1000)</f>
        <v/>
      </c>
      <c r="AI168" s="17">
        <f>IF(AE168="لم يدفع","",IF(AF168="","",AF168+AG168))</f>
        <v/>
      </c>
      <c r="AJ168" s="18">
        <f>IF(B168="","",IF(AE168="لم يدفع","🔒 مجمدة",IF(Z168="","",IF(Z168&lt;TODAY(),"⛔ منتهي - يتطلب تجديد",IF(Z168-5&lt;=TODAY(),"⚠️ قريب الانتهاء","✅ ساري")))))</f>
        <v/>
      </c>
      <c r="AK168" s="13" t="n"/>
      <c r="AL168" s="13" t="n"/>
      <c r="AM168" s="13" t="n"/>
      <c r="AN168" s="13" t="n"/>
      <c r="AO168" s="14">
        <f>IF(B168="","",IF(AK168&lt;&gt;"","الأحد والأربعاء",IF(AL168&lt;&gt;"","الاثنين والخميس",IF(AM168&lt;&gt;"","الثلاثاء والجمعة",IF(AN168&lt;&gt;"","كل الأيام","")))))</f>
        <v/>
      </c>
      <c r="AP168" s="13" t="n"/>
      <c r="AQ168" s="13" t="n"/>
      <c r="AR168" s="13" t="n"/>
      <c r="AS168" s="13" t="n"/>
      <c r="AT168" s="14">
        <f>IF(B168="","",IF(AP168&lt;&gt;"","09:00-10:00",IF(AQ168&lt;&gt;"","10:00-11:00",IF(AR168&lt;&gt;"","19:00-20:00",IF(AS168&lt;&gt;"","20:00-21:00","")))))</f>
        <v/>
      </c>
      <c r="AU168" s="19">
        <f>IF(B168="","",COUNTA(التجديد!E168:E168))</f>
        <v/>
      </c>
    </row>
    <row r="169" ht="22" customHeight="1">
      <c r="A169" s="10">
        <f>IF(B169="","","RCS "&amp;TEXT(ROW()-2,"000"))</f>
        <v/>
      </c>
      <c r="B169" s="11" t="n"/>
      <c r="C169" s="11" t="n"/>
      <c r="D169" s="12" t="n"/>
      <c r="E169" s="13" t="n"/>
      <c r="F169" s="13" t="n"/>
      <c r="G169" s="14">
        <f>IF(B169="","",IF(E169&lt;&gt;"","ذكر",IF(F169&lt;&gt;"","أنثى","")))</f>
        <v/>
      </c>
      <c r="H169" s="14">
        <f>IF(D169="","",DATEDIF(D169,TODAY(),"Y"))</f>
        <v/>
      </c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4">
        <f>IF(B169="","",IF(I169&lt;&gt;"","A+",IF(J169&lt;&gt;"","A-",IF(K169&lt;&gt;"","B+",IF(L169&lt;&gt;"","B-",IF(M169&lt;&gt;"","O+",IF(N169&lt;&gt;"","O-",IF(O169&lt;&gt;"","AB+",IF(P169&lt;&gt;"","AB-",""))))))))</f>
        <v/>
      </c>
      <c r="R169" s="13" t="n"/>
      <c r="S169" s="13" t="n"/>
      <c r="T169" s="13" t="n"/>
      <c r="U169" s="13" t="n"/>
      <c r="V169" s="13" t="n"/>
      <c r="W169" s="13" t="n"/>
      <c r="X169" s="14">
        <f>IF(B169="","",IF(R169&lt;&gt;"","/",IF(S169&lt;&gt;"","OPOW",IF(T169&lt;&gt;"","DJS",IF(U169&lt;&gt;"","FCS",IF(V169&lt;&gt;"","RCS",IF(W169&lt;&gt;"","POLICE","")))))))</f>
        <v/>
      </c>
      <c r="Y169" s="12" t="n"/>
      <c r="Z169" s="15">
        <f>IF(Y169="","",Y169+30)</f>
        <v/>
      </c>
      <c r="AA169" s="13" t="n"/>
      <c r="AB169" s="13" t="n"/>
      <c r="AC169" s="13" t="n"/>
      <c r="AD169" s="13" t="n"/>
      <c r="AE169" s="14">
        <f>IF(B169="","",IF(AA169&lt;&gt;"","مدفوع",IF(AB169&lt;&gt;"","لم يدفع",IF(AC169&lt;&gt;"","تأمين فقط",IF(AD169&lt;&gt;"","اشتراك 300","")))))</f>
        <v/>
      </c>
      <c r="AF169" s="16">
        <f>IF(OR(AE169="لم يدفع",B169=""),"",IF(OR(AE169="تأمين فقط",X169="FCS",X169="RCS"),0,IF(OR(AE169="اشتراك 300",X169="POLICE",X169="OPOW",X169="DJS"),300,IF(H169&lt;14,1300,1500))))</f>
        <v/>
      </c>
      <c r="AG169" s="16">
        <f>IF(OR(AE169="لم يدفع",B169=""),"",500)</f>
        <v/>
      </c>
      <c r="AH169" s="16">
        <f>IF(OR(AE169="لم يدفع",AE169="تأمين فقط",AE169="اشتراك 300",X169="OPOW",X169="DJS",X169="FCS",X169="RCS",X169="POLICE",B169=""),"",1000)</f>
        <v/>
      </c>
      <c r="AI169" s="17">
        <f>IF(AE169="لم يدفع","",IF(AF169="","",AF169+AG169))</f>
        <v/>
      </c>
      <c r="AJ169" s="18">
        <f>IF(B169="","",IF(AE169="لم يدفع","🔒 مجمدة",IF(Z169="","",IF(Z169&lt;TODAY(),"⛔ منتهي - يتطلب تجديد",IF(Z169-5&lt;=TODAY(),"⚠️ قريب الانتهاء","✅ ساري")))))</f>
        <v/>
      </c>
      <c r="AK169" s="13" t="n"/>
      <c r="AL169" s="13" t="n"/>
      <c r="AM169" s="13" t="n"/>
      <c r="AN169" s="13" t="n"/>
      <c r="AO169" s="14">
        <f>IF(B169="","",IF(AK169&lt;&gt;"","الأحد والأربعاء",IF(AL169&lt;&gt;"","الاثنين والخميس",IF(AM169&lt;&gt;"","الثلاثاء والجمعة",IF(AN169&lt;&gt;"","كل الأيام","")))))</f>
        <v/>
      </c>
      <c r="AP169" s="13" t="n"/>
      <c r="AQ169" s="13" t="n"/>
      <c r="AR169" s="13" t="n"/>
      <c r="AS169" s="13" t="n"/>
      <c r="AT169" s="14">
        <f>IF(B169="","",IF(AP169&lt;&gt;"","09:00-10:00",IF(AQ169&lt;&gt;"","10:00-11:00",IF(AR169&lt;&gt;"","19:00-20:00",IF(AS169&lt;&gt;"","20:00-21:00","")))))</f>
        <v/>
      </c>
      <c r="AU169" s="19">
        <f>IF(B169="","",COUNTA(التجديد!E169:E169))</f>
        <v/>
      </c>
    </row>
    <row r="170" ht="22" customHeight="1">
      <c r="A170" s="10">
        <f>IF(B170="","","RCS "&amp;TEXT(ROW()-2,"000"))</f>
        <v/>
      </c>
      <c r="B170" s="11" t="n"/>
      <c r="C170" s="11" t="n"/>
      <c r="D170" s="12" t="n"/>
      <c r="E170" s="13" t="n"/>
      <c r="F170" s="13" t="n"/>
      <c r="G170" s="14">
        <f>IF(B170="","",IF(E170&lt;&gt;"","ذكر",IF(F170&lt;&gt;"","أنثى","")))</f>
        <v/>
      </c>
      <c r="H170" s="14">
        <f>IF(D170="","",DATEDIF(D170,TODAY(),"Y"))</f>
        <v/>
      </c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4">
        <f>IF(B170="","",IF(I170&lt;&gt;"","A+",IF(J170&lt;&gt;"","A-",IF(K170&lt;&gt;"","B+",IF(L170&lt;&gt;"","B-",IF(M170&lt;&gt;"","O+",IF(N170&lt;&gt;"","O-",IF(O170&lt;&gt;"","AB+",IF(P170&lt;&gt;"","AB-",""))))))))</f>
        <v/>
      </c>
      <c r="R170" s="13" t="n"/>
      <c r="S170" s="13" t="n"/>
      <c r="T170" s="13" t="n"/>
      <c r="U170" s="13" t="n"/>
      <c r="V170" s="13" t="n"/>
      <c r="W170" s="13" t="n"/>
      <c r="X170" s="14">
        <f>IF(B170="","",IF(R170&lt;&gt;"","/",IF(S170&lt;&gt;"","OPOW",IF(T170&lt;&gt;"","DJS",IF(U170&lt;&gt;"","FCS",IF(V170&lt;&gt;"","RCS",IF(W170&lt;&gt;"","POLICE","")))))))</f>
        <v/>
      </c>
      <c r="Y170" s="12" t="n"/>
      <c r="Z170" s="15">
        <f>IF(Y170="","",Y170+30)</f>
        <v/>
      </c>
      <c r="AA170" s="13" t="n"/>
      <c r="AB170" s="13" t="n"/>
      <c r="AC170" s="13" t="n"/>
      <c r="AD170" s="13" t="n"/>
      <c r="AE170" s="14">
        <f>IF(B170="","",IF(AA170&lt;&gt;"","مدفوع",IF(AB170&lt;&gt;"","لم يدفع",IF(AC170&lt;&gt;"","تأمين فقط",IF(AD170&lt;&gt;"","اشتراك 300","")))))</f>
        <v/>
      </c>
      <c r="AF170" s="16">
        <f>IF(OR(AE170="لم يدفع",B170=""),"",IF(OR(AE170="تأمين فقط",X170="FCS",X170="RCS"),0,IF(OR(AE170="اشتراك 300",X170="POLICE",X170="OPOW",X170="DJS"),300,IF(H170&lt;14,1300,1500))))</f>
        <v/>
      </c>
      <c r="AG170" s="16">
        <f>IF(OR(AE170="لم يدفع",B170=""),"",500)</f>
        <v/>
      </c>
      <c r="AH170" s="16">
        <f>IF(OR(AE170="لم يدفع",AE170="تأمين فقط",AE170="اشتراك 300",X170="OPOW",X170="DJS",X170="FCS",X170="RCS",X170="POLICE",B170=""),"",1000)</f>
        <v/>
      </c>
      <c r="AI170" s="17">
        <f>IF(AE170="لم يدفع","",IF(AF170="","",AF170+AG170))</f>
        <v/>
      </c>
      <c r="AJ170" s="18">
        <f>IF(B170="","",IF(AE170="لم يدفع","🔒 مجمدة",IF(Z170="","",IF(Z170&lt;TODAY(),"⛔ منتهي - يتطلب تجديد",IF(Z170-5&lt;=TODAY(),"⚠️ قريب الانتهاء","✅ ساري")))))</f>
        <v/>
      </c>
      <c r="AK170" s="13" t="n"/>
      <c r="AL170" s="13" t="n"/>
      <c r="AM170" s="13" t="n"/>
      <c r="AN170" s="13" t="n"/>
      <c r="AO170" s="14">
        <f>IF(B170="","",IF(AK170&lt;&gt;"","الأحد والأربعاء",IF(AL170&lt;&gt;"","الاثنين والخميس",IF(AM170&lt;&gt;"","الثلاثاء والجمعة",IF(AN170&lt;&gt;"","كل الأيام","")))))</f>
        <v/>
      </c>
      <c r="AP170" s="13" t="n"/>
      <c r="AQ170" s="13" t="n"/>
      <c r="AR170" s="13" t="n"/>
      <c r="AS170" s="13" t="n"/>
      <c r="AT170" s="14">
        <f>IF(B170="","",IF(AP170&lt;&gt;"","09:00-10:00",IF(AQ170&lt;&gt;"","10:00-11:00",IF(AR170&lt;&gt;"","19:00-20:00",IF(AS170&lt;&gt;"","20:00-21:00","")))))</f>
        <v/>
      </c>
      <c r="AU170" s="19">
        <f>IF(B170="","",COUNTA(التجديد!E170:E170))</f>
        <v/>
      </c>
    </row>
    <row r="171" ht="22" customHeight="1">
      <c r="A171" s="10">
        <f>IF(B171="","","RCS "&amp;TEXT(ROW()-2,"000"))</f>
        <v/>
      </c>
      <c r="B171" s="11" t="n"/>
      <c r="C171" s="11" t="n"/>
      <c r="D171" s="12" t="n"/>
      <c r="E171" s="13" t="n"/>
      <c r="F171" s="13" t="n"/>
      <c r="G171" s="14">
        <f>IF(B171="","",IF(E171&lt;&gt;"","ذكر",IF(F171&lt;&gt;"","أنثى","")))</f>
        <v/>
      </c>
      <c r="H171" s="14">
        <f>IF(D171="","",DATEDIF(D171,TODAY(),"Y"))</f>
        <v/>
      </c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4">
        <f>IF(B171="","",IF(I171&lt;&gt;"","A+",IF(J171&lt;&gt;"","A-",IF(K171&lt;&gt;"","B+",IF(L171&lt;&gt;"","B-",IF(M171&lt;&gt;"","O+",IF(N171&lt;&gt;"","O-",IF(O171&lt;&gt;"","AB+",IF(P171&lt;&gt;"","AB-",""))))))))</f>
        <v/>
      </c>
      <c r="R171" s="13" t="n"/>
      <c r="S171" s="13" t="n"/>
      <c r="T171" s="13" t="n"/>
      <c r="U171" s="13" t="n"/>
      <c r="V171" s="13" t="n"/>
      <c r="W171" s="13" t="n"/>
      <c r="X171" s="14">
        <f>IF(B171="","",IF(R171&lt;&gt;"","/",IF(S171&lt;&gt;"","OPOW",IF(T171&lt;&gt;"","DJS",IF(U171&lt;&gt;"","FCS",IF(V171&lt;&gt;"","RCS",IF(W171&lt;&gt;"","POLICE","")))))))</f>
        <v/>
      </c>
      <c r="Y171" s="12" t="n"/>
      <c r="Z171" s="15">
        <f>IF(Y171="","",Y171+30)</f>
        <v/>
      </c>
      <c r="AA171" s="13" t="n"/>
      <c r="AB171" s="13" t="n"/>
      <c r="AC171" s="13" t="n"/>
      <c r="AD171" s="13" t="n"/>
      <c r="AE171" s="14">
        <f>IF(B171="","",IF(AA171&lt;&gt;"","مدفوع",IF(AB171&lt;&gt;"","لم يدفع",IF(AC171&lt;&gt;"","تأمين فقط",IF(AD171&lt;&gt;"","اشتراك 300","")))))</f>
        <v/>
      </c>
      <c r="AF171" s="16">
        <f>IF(OR(AE171="لم يدفع",B171=""),"",IF(OR(AE171="تأمين فقط",X171="FCS",X171="RCS"),0,IF(OR(AE171="اشتراك 300",X171="POLICE",X171="OPOW",X171="DJS"),300,IF(H171&lt;14,1300,1500))))</f>
        <v/>
      </c>
      <c r="AG171" s="16">
        <f>IF(OR(AE171="لم يدفع",B171=""),"",500)</f>
        <v/>
      </c>
      <c r="AH171" s="16">
        <f>IF(OR(AE171="لم يدفع",AE171="تأمين فقط",AE171="اشتراك 300",X171="OPOW",X171="DJS",X171="FCS",X171="RCS",X171="POLICE",B171=""),"",1000)</f>
        <v/>
      </c>
      <c r="AI171" s="17">
        <f>IF(AE171="لم يدفع","",IF(AF171="","",AF171+AG171))</f>
        <v/>
      </c>
      <c r="AJ171" s="18">
        <f>IF(B171="","",IF(AE171="لم يدفع","🔒 مجمدة",IF(Z171="","",IF(Z171&lt;TODAY(),"⛔ منتهي - يتطلب تجديد",IF(Z171-5&lt;=TODAY(),"⚠️ قريب الانتهاء","✅ ساري")))))</f>
        <v/>
      </c>
      <c r="AK171" s="13" t="n"/>
      <c r="AL171" s="13" t="n"/>
      <c r="AM171" s="13" t="n"/>
      <c r="AN171" s="13" t="n"/>
      <c r="AO171" s="14">
        <f>IF(B171="","",IF(AK171&lt;&gt;"","الأحد والأربعاء",IF(AL171&lt;&gt;"","الاثنين والخميس",IF(AM171&lt;&gt;"","الثلاثاء والجمعة",IF(AN171&lt;&gt;"","كل الأيام","")))))</f>
        <v/>
      </c>
      <c r="AP171" s="13" t="n"/>
      <c r="AQ171" s="13" t="n"/>
      <c r="AR171" s="13" t="n"/>
      <c r="AS171" s="13" t="n"/>
      <c r="AT171" s="14">
        <f>IF(B171="","",IF(AP171&lt;&gt;"","09:00-10:00",IF(AQ171&lt;&gt;"","10:00-11:00",IF(AR171&lt;&gt;"","19:00-20:00",IF(AS171&lt;&gt;"","20:00-21:00","")))))</f>
        <v/>
      </c>
      <c r="AU171" s="19">
        <f>IF(B171="","",COUNTA(التجديد!E171:E171))</f>
        <v/>
      </c>
    </row>
    <row r="172" ht="22" customHeight="1">
      <c r="A172" s="10">
        <f>IF(B172="","","RCS "&amp;TEXT(ROW()-2,"000"))</f>
        <v/>
      </c>
      <c r="B172" s="11" t="n"/>
      <c r="C172" s="11" t="n"/>
      <c r="D172" s="12" t="n"/>
      <c r="E172" s="13" t="n"/>
      <c r="F172" s="13" t="n"/>
      <c r="G172" s="14">
        <f>IF(B172="","",IF(E172&lt;&gt;"","ذكر",IF(F172&lt;&gt;"","أنثى","")))</f>
        <v/>
      </c>
      <c r="H172" s="14">
        <f>IF(D172="","",DATEDIF(D172,TODAY(),"Y"))</f>
        <v/>
      </c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4">
        <f>IF(B172="","",IF(I172&lt;&gt;"","A+",IF(J172&lt;&gt;"","A-",IF(K172&lt;&gt;"","B+",IF(L172&lt;&gt;"","B-",IF(M172&lt;&gt;"","O+",IF(N172&lt;&gt;"","O-",IF(O172&lt;&gt;"","AB+",IF(P172&lt;&gt;"","AB-",""))))))))</f>
        <v/>
      </c>
      <c r="R172" s="13" t="n"/>
      <c r="S172" s="13" t="n"/>
      <c r="T172" s="13" t="n"/>
      <c r="U172" s="13" t="n"/>
      <c r="V172" s="13" t="n"/>
      <c r="W172" s="13" t="n"/>
      <c r="X172" s="14">
        <f>IF(B172="","",IF(R172&lt;&gt;"","/",IF(S172&lt;&gt;"","OPOW",IF(T172&lt;&gt;"","DJS",IF(U172&lt;&gt;"","FCS",IF(V172&lt;&gt;"","RCS",IF(W172&lt;&gt;"","POLICE","")))))))</f>
        <v/>
      </c>
      <c r="Y172" s="12" t="n"/>
      <c r="Z172" s="15">
        <f>IF(Y172="","",Y172+30)</f>
        <v/>
      </c>
      <c r="AA172" s="13" t="n"/>
      <c r="AB172" s="13" t="n"/>
      <c r="AC172" s="13" t="n"/>
      <c r="AD172" s="13" t="n"/>
      <c r="AE172" s="14">
        <f>IF(B172="","",IF(AA172&lt;&gt;"","مدفوع",IF(AB172&lt;&gt;"","لم يدفع",IF(AC172&lt;&gt;"","تأمين فقط",IF(AD172&lt;&gt;"","اشتراك 300","")))))</f>
        <v/>
      </c>
      <c r="AF172" s="16">
        <f>IF(OR(AE172="لم يدفع",B172=""),"",IF(OR(AE172="تأمين فقط",X172="FCS",X172="RCS"),0,IF(OR(AE172="اشتراك 300",X172="POLICE",X172="OPOW",X172="DJS"),300,IF(H172&lt;14,1300,1500))))</f>
        <v/>
      </c>
      <c r="AG172" s="16">
        <f>IF(OR(AE172="لم يدفع",B172=""),"",500)</f>
        <v/>
      </c>
      <c r="AH172" s="16">
        <f>IF(OR(AE172="لم يدفع",AE172="تأمين فقط",AE172="اشتراك 300",X172="OPOW",X172="DJS",X172="FCS",X172="RCS",X172="POLICE",B172=""),"",1000)</f>
        <v/>
      </c>
      <c r="AI172" s="17">
        <f>IF(AE172="لم يدفع","",IF(AF172="","",AF172+AG172))</f>
        <v/>
      </c>
      <c r="AJ172" s="18">
        <f>IF(B172="","",IF(AE172="لم يدفع","🔒 مجمدة",IF(Z172="","",IF(Z172&lt;TODAY(),"⛔ منتهي - يتطلب تجديد",IF(Z172-5&lt;=TODAY(),"⚠️ قريب الانتهاء","✅ ساري")))))</f>
        <v/>
      </c>
      <c r="AK172" s="13" t="n"/>
      <c r="AL172" s="13" t="n"/>
      <c r="AM172" s="13" t="n"/>
      <c r="AN172" s="13" t="n"/>
      <c r="AO172" s="14">
        <f>IF(B172="","",IF(AK172&lt;&gt;"","الأحد والأربعاء",IF(AL172&lt;&gt;"","الاثنين والخميس",IF(AM172&lt;&gt;"","الثلاثاء والجمعة",IF(AN172&lt;&gt;"","كل الأيام","")))))</f>
        <v/>
      </c>
      <c r="AP172" s="13" t="n"/>
      <c r="AQ172" s="13" t="n"/>
      <c r="AR172" s="13" t="n"/>
      <c r="AS172" s="13" t="n"/>
      <c r="AT172" s="14">
        <f>IF(B172="","",IF(AP172&lt;&gt;"","09:00-10:00",IF(AQ172&lt;&gt;"","10:00-11:00",IF(AR172&lt;&gt;"","19:00-20:00",IF(AS172&lt;&gt;"","20:00-21:00","")))))</f>
        <v/>
      </c>
      <c r="AU172" s="19">
        <f>IF(B172="","",COUNTA(التجديد!E172:E172))</f>
        <v/>
      </c>
    </row>
    <row r="173" ht="22" customHeight="1">
      <c r="A173" s="10">
        <f>IF(B173="","","RCS "&amp;TEXT(ROW()-2,"000"))</f>
        <v/>
      </c>
      <c r="B173" s="11" t="n"/>
      <c r="C173" s="11" t="n"/>
      <c r="D173" s="12" t="n"/>
      <c r="E173" s="13" t="n"/>
      <c r="F173" s="13" t="n"/>
      <c r="G173" s="14">
        <f>IF(B173="","",IF(E173&lt;&gt;"","ذكر",IF(F173&lt;&gt;"","أنثى","")))</f>
        <v/>
      </c>
      <c r="H173" s="14">
        <f>IF(D173="","",DATEDIF(D173,TODAY(),"Y"))</f>
        <v/>
      </c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4">
        <f>IF(B173="","",IF(I173&lt;&gt;"","A+",IF(J173&lt;&gt;"","A-",IF(K173&lt;&gt;"","B+",IF(L173&lt;&gt;"","B-",IF(M173&lt;&gt;"","O+",IF(N173&lt;&gt;"","O-",IF(O173&lt;&gt;"","AB+",IF(P173&lt;&gt;"","AB-",""))))))))</f>
        <v/>
      </c>
      <c r="R173" s="13" t="n"/>
      <c r="S173" s="13" t="n"/>
      <c r="T173" s="13" t="n"/>
      <c r="U173" s="13" t="n"/>
      <c r="V173" s="13" t="n"/>
      <c r="W173" s="13" t="n"/>
      <c r="X173" s="14">
        <f>IF(B173="","",IF(R173&lt;&gt;"","/",IF(S173&lt;&gt;"","OPOW",IF(T173&lt;&gt;"","DJS",IF(U173&lt;&gt;"","FCS",IF(V173&lt;&gt;"","RCS",IF(W173&lt;&gt;"","POLICE","")))))))</f>
        <v/>
      </c>
      <c r="Y173" s="12" t="n"/>
      <c r="Z173" s="15">
        <f>IF(Y173="","",Y173+30)</f>
        <v/>
      </c>
      <c r="AA173" s="13" t="n"/>
      <c r="AB173" s="13" t="n"/>
      <c r="AC173" s="13" t="n"/>
      <c r="AD173" s="13" t="n"/>
      <c r="AE173" s="14">
        <f>IF(B173="","",IF(AA173&lt;&gt;"","مدفوع",IF(AB173&lt;&gt;"","لم يدفع",IF(AC173&lt;&gt;"","تأمين فقط",IF(AD173&lt;&gt;"","اشتراك 300","")))))</f>
        <v/>
      </c>
      <c r="AF173" s="16">
        <f>IF(OR(AE173="لم يدفع",B173=""),"",IF(OR(AE173="تأمين فقط",X173="FCS",X173="RCS"),0,IF(OR(AE173="اشتراك 300",X173="POLICE",X173="OPOW",X173="DJS"),300,IF(H173&lt;14,1300,1500))))</f>
        <v/>
      </c>
      <c r="AG173" s="16">
        <f>IF(OR(AE173="لم يدفع",B173=""),"",500)</f>
        <v/>
      </c>
      <c r="AH173" s="16">
        <f>IF(OR(AE173="لم يدفع",AE173="تأمين فقط",AE173="اشتراك 300",X173="OPOW",X173="DJS",X173="FCS",X173="RCS",X173="POLICE",B173=""),"",1000)</f>
        <v/>
      </c>
      <c r="AI173" s="17">
        <f>IF(AE173="لم يدفع","",IF(AF173="","",AF173+AG173))</f>
        <v/>
      </c>
      <c r="AJ173" s="18">
        <f>IF(B173="","",IF(AE173="لم يدفع","🔒 مجمدة",IF(Z173="","",IF(Z173&lt;TODAY(),"⛔ منتهي - يتطلب تجديد",IF(Z173-5&lt;=TODAY(),"⚠️ قريب الانتهاء","✅ ساري")))))</f>
        <v/>
      </c>
      <c r="AK173" s="13" t="n"/>
      <c r="AL173" s="13" t="n"/>
      <c r="AM173" s="13" t="n"/>
      <c r="AN173" s="13" t="n"/>
      <c r="AO173" s="14">
        <f>IF(B173="","",IF(AK173&lt;&gt;"","الأحد والأربعاء",IF(AL173&lt;&gt;"","الاثنين والخميس",IF(AM173&lt;&gt;"","الثلاثاء والجمعة",IF(AN173&lt;&gt;"","كل الأيام","")))))</f>
        <v/>
      </c>
      <c r="AP173" s="13" t="n"/>
      <c r="AQ173" s="13" t="n"/>
      <c r="AR173" s="13" t="n"/>
      <c r="AS173" s="13" t="n"/>
      <c r="AT173" s="14">
        <f>IF(B173="","",IF(AP173&lt;&gt;"","09:00-10:00",IF(AQ173&lt;&gt;"","10:00-11:00",IF(AR173&lt;&gt;"","19:00-20:00",IF(AS173&lt;&gt;"","20:00-21:00","")))))</f>
        <v/>
      </c>
      <c r="AU173" s="19">
        <f>IF(B173="","",COUNTA(التجديد!E173:E173))</f>
        <v/>
      </c>
    </row>
    <row r="174" ht="22" customHeight="1">
      <c r="A174" s="10">
        <f>IF(B174="","","RCS "&amp;TEXT(ROW()-2,"000"))</f>
        <v/>
      </c>
      <c r="B174" s="11" t="n"/>
      <c r="C174" s="11" t="n"/>
      <c r="D174" s="12" t="n"/>
      <c r="E174" s="13" t="n"/>
      <c r="F174" s="13" t="n"/>
      <c r="G174" s="14">
        <f>IF(B174="","",IF(E174&lt;&gt;"","ذكر",IF(F174&lt;&gt;"","أنثى","")))</f>
        <v/>
      </c>
      <c r="H174" s="14">
        <f>IF(D174="","",DATEDIF(D174,TODAY(),"Y"))</f>
        <v/>
      </c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4">
        <f>IF(B174="","",IF(I174&lt;&gt;"","A+",IF(J174&lt;&gt;"","A-",IF(K174&lt;&gt;"","B+",IF(L174&lt;&gt;"","B-",IF(M174&lt;&gt;"","O+",IF(N174&lt;&gt;"","O-",IF(O174&lt;&gt;"","AB+",IF(P174&lt;&gt;"","AB-",""))))))))</f>
        <v/>
      </c>
      <c r="R174" s="13" t="n"/>
      <c r="S174" s="13" t="n"/>
      <c r="T174" s="13" t="n"/>
      <c r="U174" s="13" t="n"/>
      <c r="V174" s="13" t="n"/>
      <c r="W174" s="13" t="n"/>
      <c r="X174" s="14">
        <f>IF(B174="","",IF(R174&lt;&gt;"","/",IF(S174&lt;&gt;"","OPOW",IF(T174&lt;&gt;"","DJS",IF(U174&lt;&gt;"","FCS",IF(V174&lt;&gt;"","RCS",IF(W174&lt;&gt;"","POLICE","")))))))</f>
        <v/>
      </c>
      <c r="Y174" s="12" t="n"/>
      <c r="Z174" s="15">
        <f>IF(Y174="","",Y174+30)</f>
        <v/>
      </c>
      <c r="AA174" s="13" t="n"/>
      <c r="AB174" s="13" t="n"/>
      <c r="AC174" s="13" t="n"/>
      <c r="AD174" s="13" t="n"/>
      <c r="AE174" s="14">
        <f>IF(B174="","",IF(AA174&lt;&gt;"","مدفوع",IF(AB174&lt;&gt;"","لم يدفع",IF(AC174&lt;&gt;"","تأمين فقط",IF(AD174&lt;&gt;"","اشتراك 300","")))))</f>
        <v/>
      </c>
      <c r="AF174" s="16">
        <f>IF(OR(AE174="لم يدفع",B174=""),"",IF(OR(AE174="تأمين فقط",X174="FCS",X174="RCS"),0,IF(OR(AE174="اشتراك 300",X174="POLICE",X174="OPOW",X174="DJS"),300,IF(H174&lt;14,1300,1500))))</f>
        <v/>
      </c>
      <c r="AG174" s="16">
        <f>IF(OR(AE174="لم يدفع",B174=""),"",500)</f>
        <v/>
      </c>
      <c r="AH174" s="16">
        <f>IF(OR(AE174="لم يدفع",AE174="تأمين فقط",AE174="اشتراك 300",X174="OPOW",X174="DJS",X174="FCS",X174="RCS",X174="POLICE",B174=""),"",1000)</f>
        <v/>
      </c>
      <c r="AI174" s="17">
        <f>IF(AE174="لم يدفع","",IF(AF174="","",AF174+AG174))</f>
        <v/>
      </c>
      <c r="AJ174" s="18">
        <f>IF(B174="","",IF(AE174="لم يدفع","🔒 مجمدة",IF(Z174="","",IF(Z174&lt;TODAY(),"⛔ منتهي - يتطلب تجديد",IF(Z174-5&lt;=TODAY(),"⚠️ قريب الانتهاء","✅ ساري")))))</f>
        <v/>
      </c>
      <c r="AK174" s="13" t="n"/>
      <c r="AL174" s="13" t="n"/>
      <c r="AM174" s="13" t="n"/>
      <c r="AN174" s="13" t="n"/>
      <c r="AO174" s="14">
        <f>IF(B174="","",IF(AK174&lt;&gt;"","الأحد والأربعاء",IF(AL174&lt;&gt;"","الاثنين والخميس",IF(AM174&lt;&gt;"","الثلاثاء والجمعة",IF(AN174&lt;&gt;"","كل الأيام","")))))</f>
        <v/>
      </c>
      <c r="AP174" s="13" t="n"/>
      <c r="AQ174" s="13" t="n"/>
      <c r="AR174" s="13" t="n"/>
      <c r="AS174" s="13" t="n"/>
      <c r="AT174" s="14">
        <f>IF(B174="","",IF(AP174&lt;&gt;"","09:00-10:00",IF(AQ174&lt;&gt;"","10:00-11:00",IF(AR174&lt;&gt;"","19:00-20:00",IF(AS174&lt;&gt;"","20:00-21:00","")))))</f>
        <v/>
      </c>
      <c r="AU174" s="19">
        <f>IF(B174="","",COUNTA(التجديد!E174:E174))</f>
        <v/>
      </c>
    </row>
    <row r="175" ht="22" customHeight="1">
      <c r="A175" s="10">
        <f>IF(B175="","","RCS "&amp;TEXT(ROW()-2,"000"))</f>
        <v/>
      </c>
      <c r="B175" s="11" t="n"/>
      <c r="C175" s="11" t="n"/>
      <c r="D175" s="12" t="n"/>
      <c r="E175" s="13" t="n"/>
      <c r="F175" s="13" t="n"/>
      <c r="G175" s="14">
        <f>IF(B175="","",IF(E175&lt;&gt;"","ذكر",IF(F175&lt;&gt;"","أنثى","")))</f>
        <v/>
      </c>
      <c r="H175" s="14">
        <f>IF(D175="","",DATEDIF(D175,TODAY(),"Y"))</f>
        <v/>
      </c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4">
        <f>IF(B175="","",IF(I175&lt;&gt;"","A+",IF(J175&lt;&gt;"","A-",IF(K175&lt;&gt;"","B+",IF(L175&lt;&gt;"","B-",IF(M175&lt;&gt;"","O+",IF(N175&lt;&gt;"","O-",IF(O175&lt;&gt;"","AB+",IF(P175&lt;&gt;"","AB-",""))))))))</f>
        <v/>
      </c>
      <c r="R175" s="13" t="n"/>
      <c r="S175" s="13" t="n"/>
      <c r="T175" s="13" t="n"/>
      <c r="U175" s="13" t="n"/>
      <c r="V175" s="13" t="n"/>
      <c r="W175" s="13" t="n"/>
      <c r="X175" s="14">
        <f>IF(B175="","",IF(R175&lt;&gt;"","/",IF(S175&lt;&gt;"","OPOW",IF(T175&lt;&gt;"","DJS",IF(U175&lt;&gt;"","FCS",IF(V175&lt;&gt;"","RCS",IF(W175&lt;&gt;"","POLICE","")))))))</f>
        <v/>
      </c>
      <c r="Y175" s="12" t="n"/>
      <c r="Z175" s="15">
        <f>IF(Y175="","",Y175+30)</f>
        <v/>
      </c>
      <c r="AA175" s="13" t="n"/>
      <c r="AB175" s="13" t="n"/>
      <c r="AC175" s="13" t="n"/>
      <c r="AD175" s="13" t="n"/>
      <c r="AE175" s="14">
        <f>IF(B175="","",IF(AA175&lt;&gt;"","مدفوع",IF(AB175&lt;&gt;"","لم يدفع",IF(AC175&lt;&gt;"","تأمين فقط",IF(AD175&lt;&gt;"","اشتراك 300","")))))</f>
        <v/>
      </c>
      <c r="AF175" s="16">
        <f>IF(OR(AE175="لم يدفع",B175=""),"",IF(OR(AE175="تأمين فقط",X175="FCS",X175="RCS"),0,IF(OR(AE175="اشتراك 300",X175="POLICE",X175="OPOW",X175="DJS"),300,IF(H175&lt;14,1300,1500))))</f>
        <v/>
      </c>
      <c r="AG175" s="16">
        <f>IF(OR(AE175="لم يدفع",B175=""),"",500)</f>
        <v/>
      </c>
      <c r="AH175" s="16">
        <f>IF(OR(AE175="لم يدفع",AE175="تأمين فقط",AE175="اشتراك 300",X175="OPOW",X175="DJS",X175="FCS",X175="RCS",X175="POLICE",B175=""),"",1000)</f>
        <v/>
      </c>
      <c r="AI175" s="17">
        <f>IF(AE175="لم يدفع","",IF(AF175="","",AF175+AG175))</f>
        <v/>
      </c>
      <c r="AJ175" s="18">
        <f>IF(B175="","",IF(AE175="لم يدفع","🔒 مجمدة",IF(Z175="","",IF(Z175&lt;TODAY(),"⛔ منتهي - يتطلب تجديد",IF(Z175-5&lt;=TODAY(),"⚠️ قريب الانتهاء","✅ ساري")))))</f>
        <v/>
      </c>
      <c r="AK175" s="13" t="n"/>
      <c r="AL175" s="13" t="n"/>
      <c r="AM175" s="13" t="n"/>
      <c r="AN175" s="13" t="n"/>
      <c r="AO175" s="14">
        <f>IF(B175="","",IF(AK175&lt;&gt;"","الأحد والأربعاء",IF(AL175&lt;&gt;"","الاثنين والخميس",IF(AM175&lt;&gt;"","الثلاثاء والجمعة",IF(AN175&lt;&gt;"","كل الأيام","")))))</f>
        <v/>
      </c>
      <c r="AP175" s="13" t="n"/>
      <c r="AQ175" s="13" t="n"/>
      <c r="AR175" s="13" t="n"/>
      <c r="AS175" s="13" t="n"/>
      <c r="AT175" s="14">
        <f>IF(B175="","",IF(AP175&lt;&gt;"","09:00-10:00",IF(AQ175&lt;&gt;"","10:00-11:00",IF(AR175&lt;&gt;"","19:00-20:00",IF(AS175&lt;&gt;"","20:00-21:00","")))))</f>
        <v/>
      </c>
      <c r="AU175" s="19">
        <f>IF(B175="","",COUNTA(التجديد!E175:E175))</f>
        <v/>
      </c>
    </row>
    <row r="176" ht="22" customHeight="1">
      <c r="A176" s="10">
        <f>IF(B176="","","RCS "&amp;TEXT(ROW()-2,"000"))</f>
        <v/>
      </c>
      <c r="B176" s="11" t="n"/>
      <c r="C176" s="11" t="n"/>
      <c r="D176" s="12" t="n"/>
      <c r="E176" s="13" t="n"/>
      <c r="F176" s="13" t="n"/>
      <c r="G176" s="14">
        <f>IF(B176="","",IF(E176&lt;&gt;"","ذكر",IF(F176&lt;&gt;"","أنثى","")))</f>
        <v/>
      </c>
      <c r="H176" s="14">
        <f>IF(D176="","",DATEDIF(D176,TODAY(),"Y"))</f>
        <v/>
      </c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4">
        <f>IF(B176="","",IF(I176&lt;&gt;"","A+",IF(J176&lt;&gt;"","A-",IF(K176&lt;&gt;"","B+",IF(L176&lt;&gt;"","B-",IF(M176&lt;&gt;"","O+",IF(N176&lt;&gt;"","O-",IF(O176&lt;&gt;"","AB+",IF(P176&lt;&gt;"","AB-",""))))))))</f>
        <v/>
      </c>
      <c r="R176" s="13" t="n"/>
      <c r="S176" s="13" t="n"/>
      <c r="T176" s="13" t="n"/>
      <c r="U176" s="13" t="n"/>
      <c r="V176" s="13" t="n"/>
      <c r="W176" s="13" t="n"/>
      <c r="X176" s="14">
        <f>IF(B176="","",IF(R176&lt;&gt;"","/",IF(S176&lt;&gt;"","OPOW",IF(T176&lt;&gt;"","DJS",IF(U176&lt;&gt;"","FCS",IF(V176&lt;&gt;"","RCS",IF(W176&lt;&gt;"","POLICE","")))))))</f>
        <v/>
      </c>
      <c r="Y176" s="12" t="n"/>
      <c r="Z176" s="15">
        <f>IF(Y176="","",Y176+30)</f>
        <v/>
      </c>
      <c r="AA176" s="13" t="n"/>
      <c r="AB176" s="13" t="n"/>
      <c r="AC176" s="13" t="n"/>
      <c r="AD176" s="13" t="n"/>
      <c r="AE176" s="14">
        <f>IF(B176="","",IF(AA176&lt;&gt;"","مدفوع",IF(AB176&lt;&gt;"","لم يدفع",IF(AC176&lt;&gt;"","تأمين فقط",IF(AD176&lt;&gt;"","اشتراك 300","")))))</f>
        <v/>
      </c>
      <c r="AF176" s="16">
        <f>IF(OR(AE176="لم يدفع",B176=""),"",IF(OR(AE176="تأمين فقط",X176="FCS",X176="RCS"),0,IF(OR(AE176="اشتراك 300",X176="POLICE",X176="OPOW",X176="DJS"),300,IF(H176&lt;14,1300,1500))))</f>
        <v/>
      </c>
      <c r="AG176" s="16">
        <f>IF(OR(AE176="لم يدفع",B176=""),"",500)</f>
        <v/>
      </c>
      <c r="AH176" s="16">
        <f>IF(OR(AE176="لم يدفع",AE176="تأمين فقط",AE176="اشتراك 300",X176="OPOW",X176="DJS",X176="FCS",X176="RCS",X176="POLICE",B176=""),"",1000)</f>
        <v/>
      </c>
      <c r="AI176" s="17">
        <f>IF(AE176="لم يدفع","",IF(AF176="","",AF176+AG176))</f>
        <v/>
      </c>
      <c r="AJ176" s="18">
        <f>IF(B176="","",IF(AE176="لم يدفع","🔒 مجمدة",IF(Z176="","",IF(Z176&lt;TODAY(),"⛔ منتهي - يتطلب تجديد",IF(Z176-5&lt;=TODAY(),"⚠️ قريب الانتهاء","✅ ساري")))))</f>
        <v/>
      </c>
      <c r="AK176" s="13" t="n"/>
      <c r="AL176" s="13" t="n"/>
      <c r="AM176" s="13" t="n"/>
      <c r="AN176" s="13" t="n"/>
      <c r="AO176" s="14">
        <f>IF(B176="","",IF(AK176&lt;&gt;"","الأحد والأربعاء",IF(AL176&lt;&gt;"","الاثنين والخميس",IF(AM176&lt;&gt;"","الثلاثاء والجمعة",IF(AN176&lt;&gt;"","كل الأيام","")))))</f>
        <v/>
      </c>
      <c r="AP176" s="13" t="n"/>
      <c r="AQ176" s="13" t="n"/>
      <c r="AR176" s="13" t="n"/>
      <c r="AS176" s="13" t="n"/>
      <c r="AT176" s="14">
        <f>IF(B176="","",IF(AP176&lt;&gt;"","09:00-10:00",IF(AQ176&lt;&gt;"","10:00-11:00",IF(AR176&lt;&gt;"","19:00-20:00",IF(AS176&lt;&gt;"","20:00-21:00","")))))</f>
        <v/>
      </c>
      <c r="AU176" s="19">
        <f>IF(B176="","",COUNTA(التجديد!E176:E176))</f>
        <v/>
      </c>
    </row>
    <row r="177" ht="22" customHeight="1">
      <c r="A177" s="10">
        <f>IF(B177="","","RCS "&amp;TEXT(ROW()-2,"000"))</f>
        <v/>
      </c>
      <c r="B177" s="11" t="n"/>
      <c r="C177" s="11" t="n"/>
      <c r="D177" s="12" t="n"/>
      <c r="E177" s="13" t="n"/>
      <c r="F177" s="13" t="n"/>
      <c r="G177" s="14">
        <f>IF(B177="","",IF(E177&lt;&gt;"","ذكر",IF(F177&lt;&gt;"","أنثى","")))</f>
        <v/>
      </c>
      <c r="H177" s="14">
        <f>IF(D177="","",DATEDIF(D177,TODAY(),"Y"))</f>
        <v/>
      </c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4">
        <f>IF(B177="","",IF(I177&lt;&gt;"","A+",IF(J177&lt;&gt;"","A-",IF(K177&lt;&gt;"","B+",IF(L177&lt;&gt;"","B-",IF(M177&lt;&gt;"","O+",IF(N177&lt;&gt;"","O-",IF(O177&lt;&gt;"","AB+",IF(P177&lt;&gt;"","AB-",""))))))))</f>
        <v/>
      </c>
      <c r="R177" s="13" t="n"/>
      <c r="S177" s="13" t="n"/>
      <c r="T177" s="13" t="n"/>
      <c r="U177" s="13" t="n"/>
      <c r="V177" s="13" t="n"/>
      <c r="W177" s="13" t="n"/>
      <c r="X177" s="14">
        <f>IF(B177="","",IF(R177&lt;&gt;"","/",IF(S177&lt;&gt;"","OPOW",IF(T177&lt;&gt;"","DJS",IF(U177&lt;&gt;"","FCS",IF(V177&lt;&gt;"","RCS",IF(W177&lt;&gt;"","POLICE","")))))))</f>
        <v/>
      </c>
      <c r="Y177" s="12" t="n"/>
      <c r="Z177" s="15">
        <f>IF(Y177="","",Y177+30)</f>
        <v/>
      </c>
      <c r="AA177" s="13" t="n"/>
      <c r="AB177" s="13" t="n"/>
      <c r="AC177" s="13" t="n"/>
      <c r="AD177" s="13" t="n"/>
      <c r="AE177" s="14">
        <f>IF(B177="","",IF(AA177&lt;&gt;"","مدفوع",IF(AB177&lt;&gt;"","لم يدفع",IF(AC177&lt;&gt;"","تأمين فقط",IF(AD177&lt;&gt;"","اشتراك 300","")))))</f>
        <v/>
      </c>
      <c r="AF177" s="16">
        <f>IF(OR(AE177="لم يدفع",B177=""),"",IF(OR(AE177="تأمين فقط",X177="FCS",X177="RCS"),0,IF(OR(AE177="اشتراك 300",X177="POLICE",X177="OPOW",X177="DJS"),300,IF(H177&lt;14,1300,1500))))</f>
        <v/>
      </c>
      <c r="AG177" s="16">
        <f>IF(OR(AE177="لم يدفع",B177=""),"",500)</f>
        <v/>
      </c>
      <c r="AH177" s="16">
        <f>IF(OR(AE177="لم يدفع",AE177="تأمين فقط",AE177="اشتراك 300",X177="OPOW",X177="DJS",X177="FCS",X177="RCS",X177="POLICE",B177=""),"",1000)</f>
        <v/>
      </c>
      <c r="AI177" s="17">
        <f>IF(AE177="لم يدفع","",IF(AF177="","",AF177+AG177))</f>
        <v/>
      </c>
      <c r="AJ177" s="18">
        <f>IF(B177="","",IF(AE177="لم يدفع","🔒 مجمدة",IF(Z177="","",IF(Z177&lt;TODAY(),"⛔ منتهي - يتطلب تجديد",IF(Z177-5&lt;=TODAY(),"⚠️ قريب الانتهاء","✅ ساري")))))</f>
        <v/>
      </c>
      <c r="AK177" s="13" t="n"/>
      <c r="AL177" s="13" t="n"/>
      <c r="AM177" s="13" t="n"/>
      <c r="AN177" s="13" t="n"/>
      <c r="AO177" s="14">
        <f>IF(B177="","",IF(AK177&lt;&gt;"","الأحد والأربعاء",IF(AL177&lt;&gt;"","الاثنين والخميس",IF(AM177&lt;&gt;"","الثلاثاء والجمعة",IF(AN177&lt;&gt;"","كل الأيام","")))))</f>
        <v/>
      </c>
      <c r="AP177" s="13" t="n"/>
      <c r="AQ177" s="13" t="n"/>
      <c r="AR177" s="13" t="n"/>
      <c r="AS177" s="13" t="n"/>
      <c r="AT177" s="14">
        <f>IF(B177="","",IF(AP177&lt;&gt;"","09:00-10:00",IF(AQ177&lt;&gt;"","10:00-11:00",IF(AR177&lt;&gt;"","19:00-20:00",IF(AS177&lt;&gt;"","20:00-21:00","")))))</f>
        <v/>
      </c>
      <c r="AU177" s="19">
        <f>IF(B177="","",COUNTA(التجديد!E177:E177))</f>
        <v/>
      </c>
    </row>
    <row r="178" ht="22" customHeight="1">
      <c r="A178" s="10">
        <f>IF(B178="","","RCS "&amp;TEXT(ROW()-2,"000"))</f>
        <v/>
      </c>
      <c r="B178" s="11" t="n"/>
      <c r="C178" s="11" t="n"/>
      <c r="D178" s="12" t="n"/>
      <c r="E178" s="13" t="n"/>
      <c r="F178" s="13" t="n"/>
      <c r="G178" s="14">
        <f>IF(B178="","",IF(E178&lt;&gt;"","ذكر",IF(F178&lt;&gt;"","أنثى","")))</f>
        <v/>
      </c>
      <c r="H178" s="14">
        <f>IF(D178="","",DATEDIF(D178,TODAY(),"Y"))</f>
        <v/>
      </c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4">
        <f>IF(B178="","",IF(I178&lt;&gt;"","A+",IF(J178&lt;&gt;"","A-",IF(K178&lt;&gt;"","B+",IF(L178&lt;&gt;"","B-",IF(M178&lt;&gt;"","O+",IF(N178&lt;&gt;"","O-",IF(O178&lt;&gt;"","AB+",IF(P178&lt;&gt;"","AB-",""))))))))</f>
        <v/>
      </c>
      <c r="R178" s="13" t="n"/>
      <c r="S178" s="13" t="n"/>
      <c r="T178" s="13" t="n"/>
      <c r="U178" s="13" t="n"/>
      <c r="V178" s="13" t="n"/>
      <c r="W178" s="13" t="n"/>
      <c r="X178" s="14">
        <f>IF(B178="","",IF(R178&lt;&gt;"","/",IF(S178&lt;&gt;"","OPOW",IF(T178&lt;&gt;"","DJS",IF(U178&lt;&gt;"","FCS",IF(V178&lt;&gt;"","RCS",IF(W178&lt;&gt;"","POLICE","")))))))</f>
        <v/>
      </c>
      <c r="Y178" s="12" t="n"/>
      <c r="Z178" s="15">
        <f>IF(Y178="","",Y178+30)</f>
        <v/>
      </c>
      <c r="AA178" s="13" t="n"/>
      <c r="AB178" s="13" t="n"/>
      <c r="AC178" s="13" t="n"/>
      <c r="AD178" s="13" t="n"/>
      <c r="AE178" s="14">
        <f>IF(B178="","",IF(AA178&lt;&gt;"","مدفوع",IF(AB178&lt;&gt;"","لم يدفع",IF(AC178&lt;&gt;"","تأمين فقط",IF(AD178&lt;&gt;"","اشتراك 300","")))))</f>
        <v/>
      </c>
      <c r="AF178" s="16">
        <f>IF(OR(AE178="لم يدفع",B178=""),"",IF(OR(AE178="تأمين فقط",X178="FCS",X178="RCS"),0,IF(OR(AE178="اشتراك 300",X178="POLICE",X178="OPOW",X178="DJS"),300,IF(H178&lt;14,1300,1500))))</f>
        <v/>
      </c>
      <c r="AG178" s="16">
        <f>IF(OR(AE178="لم يدفع",B178=""),"",500)</f>
        <v/>
      </c>
      <c r="AH178" s="16">
        <f>IF(OR(AE178="لم يدفع",AE178="تأمين فقط",AE178="اشتراك 300",X178="OPOW",X178="DJS",X178="FCS",X178="RCS",X178="POLICE",B178=""),"",1000)</f>
        <v/>
      </c>
      <c r="AI178" s="17">
        <f>IF(AE178="لم يدفع","",IF(AF178="","",AF178+AG178))</f>
        <v/>
      </c>
      <c r="AJ178" s="18">
        <f>IF(B178="","",IF(AE178="لم يدفع","🔒 مجمدة",IF(Z178="","",IF(Z178&lt;TODAY(),"⛔ منتهي - يتطلب تجديد",IF(Z178-5&lt;=TODAY(),"⚠️ قريب الانتهاء","✅ ساري")))))</f>
        <v/>
      </c>
      <c r="AK178" s="13" t="n"/>
      <c r="AL178" s="13" t="n"/>
      <c r="AM178" s="13" t="n"/>
      <c r="AN178" s="13" t="n"/>
      <c r="AO178" s="14">
        <f>IF(B178="","",IF(AK178&lt;&gt;"","الأحد والأربعاء",IF(AL178&lt;&gt;"","الاثنين والخميس",IF(AM178&lt;&gt;"","الثلاثاء والجمعة",IF(AN178&lt;&gt;"","كل الأيام","")))))</f>
        <v/>
      </c>
      <c r="AP178" s="13" t="n"/>
      <c r="AQ178" s="13" t="n"/>
      <c r="AR178" s="13" t="n"/>
      <c r="AS178" s="13" t="n"/>
      <c r="AT178" s="14">
        <f>IF(B178="","",IF(AP178&lt;&gt;"","09:00-10:00",IF(AQ178&lt;&gt;"","10:00-11:00",IF(AR178&lt;&gt;"","19:00-20:00",IF(AS178&lt;&gt;"","20:00-21:00","")))))</f>
        <v/>
      </c>
      <c r="AU178" s="19">
        <f>IF(B178="","",COUNTA(التجديد!E178:E178))</f>
        <v/>
      </c>
    </row>
    <row r="179" ht="22" customHeight="1">
      <c r="A179" s="10">
        <f>IF(B179="","","RCS "&amp;TEXT(ROW()-2,"000"))</f>
        <v/>
      </c>
      <c r="B179" s="11" t="n"/>
      <c r="C179" s="11" t="n"/>
      <c r="D179" s="12" t="n"/>
      <c r="E179" s="13" t="n"/>
      <c r="F179" s="13" t="n"/>
      <c r="G179" s="14">
        <f>IF(B179="","",IF(E179&lt;&gt;"","ذكر",IF(F179&lt;&gt;"","أنثى","")))</f>
        <v/>
      </c>
      <c r="H179" s="14">
        <f>IF(D179="","",DATEDIF(D179,TODAY(),"Y"))</f>
        <v/>
      </c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4">
        <f>IF(B179="","",IF(I179&lt;&gt;"","A+",IF(J179&lt;&gt;"","A-",IF(K179&lt;&gt;"","B+",IF(L179&lt;&gt;"","B-",IF(M179&lt;&gt;"","O+",IF(N179&lt;&gt;"","O-",IF(O179&lt;&gt;"","AB+",IF(P179&lt;&gt;"","AB-",""))))))))</f>
        <v/>
      </c>
      <c r="R179" s="13" t="n"/>
      <c r="S179" s="13" t="n"/>
      <c r="T179" s="13" t="n"/>
      <c r="U179" s="13" t="n"/>
      <c r="V179" s="13" t="n"/>
      <c r="W179" s="13" t="n"/>
      <c r="X179" s="14">
        <f>IF(B179="","",IF(R179&lt;&gt;"","/",IF(S179&lt;&gt;"","OPOW",IF(T179&lt;&gt;"","DJS",IF(U179&lt;&gt;"","FCS",IF(V179&lt;&gt;"","RCS",IF(W179&lt;&gt;"","POLICE","")))))))</f>
        <v/>
      </c>
      <c r="Y179" s="12" t="n"/>
      <c r="Z179" s="15">
        <f>IF(Y179="","",Y179+30)</f>
        <v/>
      </c>
      <c r="AA179" s="13" t="n"/>
      <c r="AB179" s="13" t="n"/>
      <c r="AC179" s="13" t="n"/>
      <c r="AD179" s="13" t="n"/>
      <c r="AE179" s="14">
        <f>IF(B179="","",IF(AA179&lt;&gt;"","مدفوع",IF(AB179&lt;&gt;"","لم يدفع",IF(AC179&lt;&gt;"","تأمين فقط",IF(AD179&lt;&gt;"","اشتراك 300","")))))</f>
        <v/>
      </c>
      <c r="AF179" s="16">
        <f>IF(OR(AE179="لم يدفع",B179=""),"",IF(OR(AE179="تأمين فقط",X179="FCS",X179="RCS"),0,IF(OR(AE179="اشتراك 300",X179="POLICE",X179="OPOW",X179="DJS"),300,IF(H179&lt;14,1300,1500))))</f>
        <v/>
      </c>
      <c r="AG179" s="16">
        <f>IF(OR(AE179="لم يدفع",B179=""),"",500)</f>
        <v/>
      </c>
      <c r="AH179" s="16">
        <f>IF(OR(AE179="لم يدفع",AE179="تأمين فقط",AE179="اشتراك 300",X179="OPOW",X179="DJS",X179="FCS",X179="RCS",X179="POLICE",B179=""),"",1000)</f>
        <v/>
      </c>
      <c r="AI179" s="17">
        <f>IF(AE179="لم يدفع","",IF(AF179="","",AF179+AG179))</f>
        <v/>
      </c>
      <c r="AJ179" s="18">
        <f>IF(B179="","",IF(AE179="لم يدفع","🔒 مجمدة",IF(Z179="","",IF(Z179&lt;TODAY(),"⛔ منتهي - يتطلب تجديد",IF(Z179-5&lt;=TODAY(),"⚠️ قريب الانتهاء","✅ ساري")))))</f>
        <v/>
      </c>
      <c r="AK179" s="13" t="n"/>
      <c r="AL179" s="13" t="n"/>
      <c r="AM179" s="13" t="n"/>
      <c r="AN179" s="13" t="n"/>
      <c r="AO179" s="14">
        <f>IF(B179="","",IF(AK179&lt;&gt;"","الأحد والأربعاء",IF(AL179&lt;&gt;"","الاثنين والخميس",IF(AM179&lt;&gt;"","الثلاثاء والجمعة",IF(AN179&lt;&gt;"","كل الأيام","")))))</f>
        <v/>
      </c>
      <c r="AP179" s="13" t="n"/>
      <c r="AQ179" s="13" t="n"/>
      <c r="AR179" s="13" t="n"/>
      <c r="AS179" s="13" t="n"/>
      <c r="AT179" s="14">
        <f>IF(B179="","",IF(AP179&lt;&gt;"","09:00-10:00",IF(AQ179&lt;&gt;"","10:00-11:00",IF(AR179&lt;&gt;"","19:00-20:00",IF(AS179&lt;&gt;"","20:00-21:00","")))))</f>
        <v/>
      </c>
      <c r="AU179" s="19">
        <f>IF(B179="","",COUNTA(التجديد!E179:E179))</f>
        <v/>
      </c>
    </row>
    <row r="180" ht="22" customHeight="1">
      <c r="A180" s="10">
        <f>IF(B180="","","RCS "&amp;TEXT(ROW()-2,"000"))</f>
        <v/>
      </c>
      <c r="B180" s="11" t="n"/>
      <c r="C180" s="11" t="n"/>
      <c r="D180" s="12" t="n"/>
      <c r="E180" s="13" t="n"/>
      <c r="F180" s="13" t="n"/>
      <c r="G180" s="14">
        <f>IF(B180="","",IF(E180&lt;&gt;"","ذكر",IF(F180&lt;&gt;"","أنثى","")))</f>
        <v/>
      </c>
      <c r="H180" s="14">
        <f>IF(D180="","",DATEDIF(D180,TODAY(),"Y"))</f>
        <v/>
      </c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4">
        <f>IF(B180="","",IF(I180&lt;&gt;"","A+",IF(J180&lt;&gt;"","A-",IF(K180&lt;&gt;"","B+",IF(L180&lt;&gt;"","B-",IF(M180&lt;&gt;"","O+",IF(N180&lt;&gt;"","O-",IF(O180&lt;&gt;"","AB+",IF(P180&lt;&gt;"","AB-",""))))))))</f>
        <v/>
      </c>
      <c r="R180" s="13" t="n"/>
      <c r="S180" s="13" t="n"/>
      <c r="T180" s="13" t="n"/>
      <c r="U180" s="13" t="n"/>
      <c r="V180" s="13" t="n"/>
      <c r="W180" s="13" t="n"/>
      <c r="X180" s="14">
        <f>IF(B180="","",IF(R180&lt;&gt;"","/",IF(S180&lt;&gt;"","OPOW",IF(T180&lt;&gt;"","DJS",IF(U180&lt;&gt;"","FCS",IF(V180&lt;&gt;"","RCS",IF(W180&lt;&gt;"","POLICE","")))))))</f>
        <v/>
      </c>
      <c r="Y180" s="12" t="n"/>
      <c r="Z180" s="15">
        <f>IF(Y180="","",Y180+30)</f>
        <v/>
      </c>
      <c r="AA180" s="13" t="n"/>
      <c r="AB180" s="13" t="n"/>
      <c r="AC180" s="13" t="n"/>
      <c r="AD180" s="13" t="n"/>
      <c r="AE180" s="14">
        <f>IF(B180="","",IF(AA180&lt;&gt;"","مدفوع",IF(AB180&lt;&gt;"","لم يدفع",IF(AC180&lt;&gt;"","تأمين فقط",IF(AD180&lt;&gt;"","اشتراك 300","")))))</f>
        <v/>
      </c>
      <c r="AF180" s="16">
        <f>IF(OR(AE180="لم يدفع",B180=""),"",IF(OR(AE180="تأمين فقط",X180="FCS",X180="RCS"),0,IF(OR(AE180="اشتراك 300",X180="POLICE",X180="OPOW",X180="DJS"),300,IF(H180&lt;14,1300,1500))))</f>
        <v/>
      </c>
      <c r="AG180" s="16">
        <f>IF(OR(AE180="لم يدفع",B180=""),"",500)</f>
        <v/>
      </c>
      <c r="AH180" s="16">
        <f>IF(OR(AE180="لم يدفع",AE180="تأمين فقط",AE180="اشتراك 300",X180="OPOW",X180="DJS",X180="FCS",X180="RCS",X180="POLICE",B180=""),"",1000)</f>
        <v/>
      </c>
      <c r="AI180" s="17">
        <f>IF(AE180="لم يدفع","",IF(AF180="","",AF180+AG180))</f>
        <v/>
      </c>
      <c r="AJ180" s="18">
        <f>IF(B180="","",IF(AE180="لم يدفع","🔒 مجمدة",IF(Z180="","",IF(Z180&lt;TODAY(),"⛔ منتهي - يتطلب تجديد",IF(Z180-5&lt;=TODAY(),"⚠️ قريب الانتهاء","✅ ساري")))))</f>
        <v/>
      </c>
      <c r="AK180" s="13" t="n"/>
      <c r="AL180" s="13" t="n"/>
      <c r="AM180" s="13" t="n"/>
      <c r="AN180" s="13" t="n"/>
      <c r="AO180" s="14">
        <f>IF(B180="","",IF(AK180&lt;&gt;"","الأحد والأربعاء",IF(AL180&lt;&gt;"","الاثنين والخميس",IF(AM180&lt;&gt;"","الثلاثاء والجمعة",IF(AN180&lt;&gt;"","كل الأيام","")))))</f>
        <v/>
      </c>
      <c r="AP180" s="13" t="n"/>
      <c r="AQ180" s="13" t="n"/>
      <c r="AR180" s="13" t="n"/>
      <c r="AS180" s="13" t="n"/>
      <c r="AT180" s="14">
        <f>IF(B180="","",IF(AP180&lt;&gt;"","09:00-10:00",IF(AQ180&lt;&gt;"","10:00-11:00",IF(AR180&lt;&gt;"","19:00-20:00",IF(AS180&lt;&gt;"","20:00-21:00","")))))</f>
        <v/>
      </c>
      <c r="AU180" s="19">
        <f>IF(B180="","",COUNTA(التجديد!E180:E180))</f>
        <v/>
      </c>
    </row>
    <row r="181" ht="22" customHeight="1">
      <c r="A181" s="10">
        <f>IF(B181="","","RCS "&amp;TEXT(ROW()-2,"000"))</f>
        <v/>
      </c>
      <c r="B181" s="11" t="n"/>
      <c r="C181" s="11" t="n"/>
      <c r="D181" s="12" t="n"/>
      <c r="E181" s="13" t="n"/>
      <c r="F181" s="13" t="n"/>
      <c r="G181" s="14">
        <f>IF(B181="","",IF(E181&lt;&gt;"","ذكر",IF(F181&lt;&gt;"","أنثى","")))</f>
        <v/>
      </c>
      <c r="H181" s="14">
        <f>IF(D181="","",DATEDIF(D181,TODAY(),"Y"))</f>
        <v/>
      </c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4">
        <f>IF(B181="","",IF(I181&lt;&gt;"","A+",IF(J181&lt;&gt;"","A-",IF(K181&lt;&gt;"","B+",IF(L181&lt;&gt;"","B-",IF(M181&lt;&gt;"","O+",IF(N181&lt;&gt;"","O-",IF(O181&lt;&gt;"","AB+",IF(P181&lt;&gt;"","AB-",""))))))))</f>
        <v/>
      </c>
      <c r="R181" s="13" t="n"/>
      <c r="S181" s="13" t="n"/>
      <c r="T181" s="13" t="n"/>
      <c r="U181" s="13" t="n"/>
      <c r="V181" s="13" t="n"/>
      <c r="W181" s="13" t="n"/>
      <c r="X181" s="14">
        <f>IF(B181="","",IF(R181&lt;&gt;"","/",IF(S181&lt;&gt;"","OPOW",IF(T181&lt;&gt;"","DJS",IF(U181&lt;&gt;"","FCS",IF(V181&lt;&gt;"","RCS",IF(W181&lt;&gt;"","POLICE","")))))))</f>
        <v/>
      </c>
      <c r="Y181" s="12" t="n"/>
      <c r="Z181" s="15">
        <f>IF(Y181="","",Y181+30)</f>
        <v/>
      </c>
      <c r="AA181" s="13" t="n"/>
      <c r="AB181" s="13" t="n"/>
      <c r="AC181" s="13" t="n"/>
      <c r="AD181" s="13" t="n"/>
      <c r="AE181" s="14">
        <f>IF(B181="","",IF(AA181&lt;&gt;"","مدفوع",IF(AB181&lt;&gt;"","لم يدفع",IF(AC181&lt;&gt;"","تأمين فقط",IF(AD181&lt;&gt;"","اشتراك 300","")))))</f>
        <v/>
      </c>
      <c r="AF181" s="16">
        <f>IF(OR(AE181="لم يدفع",B181=""),"",IF(OR(AE181="تأمين فقط",X181="FCS",X181="RCS"),0,IF(OR(AE181="اشتراك 300",X181="POLICE",X181="OPOW",X181="DJS"),300,IF(H181&lt;14,1300,1500))))</f>
        <v/>
      </c>
      <c r="AG181" s="16">
        <f>IF(OR(AE181="لم يدفع",B181=""),"",500)</f>
        <v/>
      </c>
      <c r="AH181" s="16">
        <f>IF(OR(AE181="لم يدفع",AE181="تأمين فقط",AE181="اشتراك 300",X181="OPOW",X181="DJS",X181="FCS",X181="RCS",X181="POLICE",B181=""),"",1000)</f>
        <v/>
      </c>
      <c r="AI181" s="17">
        <f>IF(AE181="لم يدفع","",IF(AF181="","",AF181+AG181))</f>
        <v/>
      </c>
      <c r="AJ181" s="18">
        <f>IF(B181="","",IF(AE181="لم يدفع","🔒 مجمدة",IF(Z181="","",IF(Z181&lt;TODAY(),"⛔ منتهي - يتطلب تجديد",IF(Z181-5&lt;=TODAY(),"⚠️ قريب الانتهاء","✅ ساري")))))</f>
        <v/>
      </c>
      <c r="AK181" s="13" t="n"/>
      <c r="AL181" s="13" t="n"/>
      <c r="AM181" s="13" t="n"/>
      <c r="AN181" s="13" t="n"/>
      <c r="AO181" s="14">
        <f>IF(B181="","",IF(AK181&lt;&gt;"","الأحد والأربعاء",IF(AL181&lt;&gt;"","الاثنين والخميس",IF(AM181&lt;&gt;"","الثلاثاء والجمعة",IF(AN181&lt;&gt;"","كل الأيام","")))))</f>
        <v/>
      </c>
      <c r="AP181" s="13" t="n"/>
      <c r="AQ181" s="13" t="n"/>
      <c r="AR181" s="13" t="n"/>
      <c r="AS181" s="13" t="n"/>
      <c r="AT181" s="14">
        <f>IF(B181="","",IF(AP181&lt;&gt;"","09:00-10:00",IF(AQ181&lt;&gt;"","10:00-11:00",IF(AR181&lt;&gt;"","19:00-20:00",IF(AS181&lt;&gt;"","20:00-21:00","")))))</f>
        <v/>
      </c>
      <c r="AU181" s="19">
        <f>IF(B181="","",COUNTA(التجديد!E181:E181))</f>
        <v/>
      </c>
    </row>
    <row r="182" ht="22" customHeight="1">
      <c r="A182" s="10">
        <f>IF(B182="","","RCS "&amp;TEXT(ROW()-2,"000"))</f>
        <v/>
      </c>
      <c r="B182" s="11" t="n"/>
      <c r="C182" s="11" t="n"/>
      <c r="D182" s="12" t="n"/>
      <c r="E182" s="13" t="n"/>
      <c r="F182" s="13" t="n"/>
      <c r="G182" s="14">
        <f>IF(B182="","",IF(E182&lt;&gt;"","ذكر",IF(F182&lt;&gt;"","أنثى","")))</f>
        <v/>
      </c>
      <c r="H182" s="14">
        <f>IF(D182="","",DATEDIF(D182,TODAY(),"Y"))</f>
        <v/>
      </c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4">
        <f>IF(B182="","",IF(I182&lt;&gt;"","A+",IF(J182&lt;&gt;"","A-",IF(K182&lt;&gt;"","B+",IF(L182&lt;&gt;"","B-",IF(M182&lt;&gt;"","O+",IF(N182&lt;&gt;"","O-",IF(O182&lt;&gt;"","AB+",IF(P182&lt;&gt;"","AB-",""))))))))</f>
        <v/>
      </c>
      <c r="R182" s="13" t="n"/>
      <c r="S182" s="13" t="n"/>
      <c r="T182" s="13" t="n"/>
      <c r="U182" s="13" t="n"/>
      <c r="V182" s="13" t="n"/>
      <c r="W182" s="13" t="n"/>
      <c r="X182" s="14">
        <f>IF(B182="","",IF(R182&lt;&gt;"","/",IF(S182&lt;&gt;"","OPOW",IF(T182&lt;&gt;"","DJS",IF(U182&lt;&gt;"","FCS",IF(V182&lt;&gt;"","RCS",IF(W182&lt;&gt;"","POLICE","")))))))</f>
        <v/>
      </c>
      <c r="Y182" s="12" t="n"/>
      <c r="Z182" s="15">
        <f>IF(Y182="","",Y182+30)</f>
        <v/>
      </c>
      <c r="AA182" s="13" t="n"/>
      <c r="AB182" s="13" t="n"/>
      <c r="AC182" s="13" t="n"/>
      <c r="AD182" s="13" t="n"/>
      <c r="AE182" s="14">
        <f>IF(B182="","",IF(AA182&lt;&gt;"","مدفوع",IF(AB182&lt;&gt;"","لم يدفع",IF(AC182&lt;&gt;"","تأمين فقط",IF(AD182&lt;&gt;"","اشتراك 300","")))))</f>
        <v/>
      </c>
      <c r="AF182" s="16">
        <f>IF(OR(AE182="لم يدفع",B182=""),"",IF(OR(AE182="تأمين فقط",X182="FCS",X182="RCS"),0,IF(OR(AE182="اشتراك 300",X182="POLICE",X182="OPOW",X182="DJS"),300,IF(H182&lt;14,1300,1500))))</f>
        <v/>
      </c>
      <c r="AG182" s="16">
        <f>IF(OR(AE182="لم يدفع",B182=""),"",500)</f>
        <v/>
      </c>
      <c r="AH182" s="16">
        <f>IF(OR(AE182="لم يدفع",AE182="تأمين فقط",AE182="اشتراك 300",X182="OPOW",X182="DJS",X182="FCS",X182="RCS",X182="POLICE",B182=""),"",1000)</f>
        <v/>
      </c>
      <c r="AI182" s="17">
        <f>IF(AE182="لم يدفع","",IF(AF182="","",AF182+AG182))</f>
        <v/>
      </c>
      <c r="AJ182" s="18">
        <f>IF(B182="","",IF(AE182="لم يدفع","🔒 مجمدة",IF(Z182="","",IF(Z182&lt;TODAY(),"⛔ منتهي - يتطلب تجديد",IF(Z182-5&lt;=TODAY(),"⚠️ قريب الانتهاء","✅ ساري")))))</f>
        <v/>
      </c>
      <c r="AK182" s="13" t="n"/>
      <c r="AL182" s="13" t="n"/>
      <c r="AM182" s="13" t="n"/>
      <c r="AN182" s="13" t="n"/>
      <c r="AO182" s="14">
        <f>IF(B182="","",IF(AK182&lt;&gt;"","الأحد والأربعاء",IF(AL182&lt;&gt;"","الاثنين والخميس",IF(AM182&lt;&gt;"","الثلاثاء والجمعة",IF(AN182&lt;&gt;"","كل الأيام","")))))</f>
        <v/>
      </c>
      <c r="AP182" s="13" t="n"/>
      <c r="AQ182" s="13" t="n"/>
      <c r="AR182" s="13" t="n"/>
      <c r="AS182" s="13" t="n"/>
      <c r="AT182" s="14">
        <f>IF(B182="","",IF(AP182&lt;&gt;"","09:00-10:00",IF(AQ182&lt;&gt;"","10:00-11:00",IF(AR182&lt;&gt;"","19:00-20:00",IF(AS182&lt;&gt;"","20:00-21:00","")))))</f>
        <v/>
      </c>
      <c r="AU182" s="19">
        <f>IF(B182="","",COUNTA(التجديد!E182:E182))</f>
        <v/>
      </c>
    </row>
    <row r="183" ht="22" customHeight="1">
      <c r="A183" s="10">
        <f>IF(B183="","","RCS "&amp;TEXT(ROW()-2,"000"))</f>
        <v/>
      </c>
      <c r="B183" s="11" t="n"/>
      <c r="C183" s="11" t="n"/>
      <c r="D183" s="12" t="n"/>
      <c r="E183" s="13" t="n"/>
      <c r="F183" s="13" t="n"/>
      <c r="G183" s="14">
        <f>IF(B183="","",IF(E183&lt;&gt;"","ذكر",IF(F183&lt;&gt;"","أنثى","")))</f>
        <v/>
      </c>
      <c r="H183" s="14">
        <f>IF(D183="","",DATEDIF(D183,TODAY(),"Y"))</f>
        <v/>
      </c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4">
        <f>IF(B183="","",IF(I183&lt;&gt;"","A+",IF(J183&lt;&gt;"","A-",IF(K183&lt;&gt;"","B+",IF(L183&lt;&gt;"","B-",IF(M183&lt;&gt;"","O+",IF(N183&lt;&gt;"","O-",IF(O183&lt;&gt;"","AB+",IF(P183&lt;&gt;"","AB-",""))))))))</f>
        <v/>
      </c>
      <c r="R183" s="13" t="n"/>
      <c r="S183" s="13" t="n"/>
      <c r="T183" s="13" t="n"/>
      <c r="U183" s="13" t="n"/>
      <c r="V183" s="13" t="n"/>
      <c r="W183" s="13" t="n"/>
      <c r="X183" s="14">
        <f>IF(B183="","",IF(R183&lt;&gt;"","/",IF(S183&lt;&gt;"","OPOW",IF(T183&lt;&gt;"","DJS",IF(U183&lt;&gt;"","FCS",IF(V183&lt;&gt;"","RCS",IF(W183&lt;&gt;"","POLICE","")))))))</f>
        <v/>
      </c>
      <c r="Y183" s="12" t="n"/>
      <c r="Z183" s="15">
        <f>IF(Y183="","",Y183+30)</f>
        <v/>
      </c>
      <c r="AA183" s="13" t="n"/>
      <c r="AB183" s="13" t="n"/>
      <c r="AC183" s="13" t="n"/>
      <c r="AD183" s="13" t="n"/>
      <c r="AE183" s="14">
        <f>IF(B183="","",IF(AA183&lt;&gt;"","مدفوع",IF(AB183&lt;&gt;"","لم يدفع",IF(AC183&lt;&gt;"","تأمين فقط",IF(AD183&lt;&gt;"","اشتراك 300","")))))</f>
        <v/>
      </c>
      <c r="AF183" s="16">
        <f>IF(OR(AE183="لم يدفع",B183=""),"",IF(OR(AE183="تأمين فقط",X183="FCS",X183="RCS"),0,IF(OR(AE183="اشتراك 300",X183="POLICE",X183="OPOW",X183="DJS"),300,IF(H183&lt;14,1300,1500))))</f>
        <v/>
      </c>
      <c r="AG183" s="16">
        <f>IF(OR(AE183="لم يدفع",B183=""),"",500)</f>
        <v/>
      </c>
      <c r="AH183" s="16">
        <f>IF(OR(AE183="لم يدفع",AE183="تأمين فقط",AE183="اشتراك 300",X183="OPOW",X183="DJS",X183="FCS",X183="RCS",X183="POLICE",B183=""),"",1000)</f>
        <v/>
      </c>
      <c r="AI183" s="17">
        <f>IF(AE183="لم يدفع","",IF(AF183="","",AF183+AG183))</f>
        <v/>
      </c>
      <c r="AJ183" s="18">
        <f>IF(B183="","",IF(AE183="لم يدفع","🔒 مجمدة",IF(Z183="","",IF(Z183&lt;TODAY(),"⛔ منتهي - يتطلب تجديد",IF(Z183-5&lt;=TODAY(),"⚠️ قريب الانتهاء","✅ ساري")))))</f>
        <v/>
      </c>
      <c r="AK183" s="13" t="n"/>
      <c r="AL183" s="13" t="n"/>
      <c r="AM183" s="13" t="n"/>
      <c r="AN183" s="13" t="n"/>
      <c r="AO183" s="14">
        <f>IF(B183="","",IF(AK183&lt;&gt;"","الأحد والأربعاء",IF(AL183&lt;&gt;"","الاثنين والخميس",IF(AM183&lt;&gt;"","الثلاثاء والجمعة",IF(AN183&lt;&gt;"","كل الأيام","")))))</f>
        <v/>
      </c>
      <c r="AP183" s="13" t="n"/>
      <c r="AQ183" s="13" t="n"/>
      <c r="AR183" s="13" t="n"/>
      <c r="AS183" s="13" t="n"/>
      <c r="AT183" s="14">
        <f>IF(B183="","",IF(AP183&lt;&gt;"","09:00-10:00",IF(AQ183&lt;&gt;"","10:00-11:00",IF(AR183&lt;&gt;"","19:00-20:00",IF(AS183&lt;&gt;"","20:00-21:00","")))))</f>
        <v/>
      </c>
      <c r="AU183" s="19">
        <f>IF(B183="","",COUNTA(التجديد!E183:E183))</f>
        <v/>
      </c>
    </row>
    <row r="184" ht="22" customHeight="1">
      <c r="A184" s="10">
        <f>IF(B184="","","RCS "&amp;TEXT(ROW()-2,"000"))</f>
        <v/>
      </c>
      <c r="B184" s="11" t="n"/>
      <c r="C184" s="11" t="n"/>
      <c r="D184" s="12" t="n"/>
      <c r="E184" s="13" t="n"/>
      <c r="F184" s="13" t="n"/>
      <c r="G184" s="14">
        <f>IF(B184="","",IF(E184&lt;&gt;"","ذكر",IF(F184&lt;&gt;"","أنثى","")))</f>
        <v/>
      </c>
      <c r="H184" s="14">
        <f>IF(D184="","",DATEDIF(D184,TODAY(),"Y"))</f>
        <v/>
      </c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4">
        <f>IF(B184="","",IF(I184&lt;&gt;"","A+",IF(J184&lt;&gt;"","A-",IF(K184&lt;&gt;"","B+",IF(L184&lt;&gt;"","B-",IF(M184&lt;&gt;"","O+",IF(N184&lt;&gt;"","O-",IF(O184&lt;&gt;"","AB+",IF(P184&lt;&gt;"","AB-",""))))))))</f>
        <v/>
      </c>
      <c r="R184" s="13" t="n"/>
      <c r="S184" s="13" t="n"/>
      <c r="T184" s="13" t="n"/>
      <c r="U184" s="13" t="n"/>
      <c r="V184" s="13" t="n"/>
      <c r="W184" s="13" t="n"/>
      <c r="X184" s="14">
        <f>IF(B184="","",IF(R184&lt;&gt;"","/",IF(S184&lt;&gt;"","OPOW",IF(T184&lt;&gt;"","DJS",IF(U184&lt;&gt;"","FCS",IF(V184&lt;&gt;"","RCS",IF(W184&lt;&gt;"","POLICE","")))))))</f>
        <v/>
      </c>
      <c r="Y184" s="12" t="n"/>
      <c r="Z184" s="15">
        <f>IF(Y184="","",Y184+30)</f>
        <v/>
      </c>
      <c r="AA184" s="13" t="n"/>
      <c r="AB184" s="13" t="n"/>
      <c r="AC184" s="13" t="n"/>
      <c r="AD184" s="13" t="n"/>
      <c r="AE184" s="14">
        <f>IF(B184="","",IF(AA184&lt;&gt;"","مدفوع",IF(AB184&lt;&gt;"","لم يدفع",IF(AC184&lt;&gt;"","تأمين فقط",IF(AD184&lt;&gt;"","اشتراك 300","")))))</f>
        <v/>
      </c>
      <c r="AF184" s="16">
        <f>IF(OR(AE184="لم يدفع",B184=""),"",IF(OR(AE184="تأمين فقط",X184="FCS",X184="RCS"),0,IF(OR(AE184="اشتراك 300",X184="POLICE",X184="OPOW",X184="DJS"),300,IF(H184&lt;14,1300,1500))))</f>
        <v/>
      </c>
      <c r="AG184" s="16">
        <f>IF(OR(AE184="لم يدفع",B184=""),"",500)</f>
        <v/>
      </c>
      <c r="AH184" s="16">
        <f>IF(OR(AE184="لم يدفع",AE184="تأمين فقط",AE184="اشتراك 300",X184="OPOW",X184="DJS",X184="FCS",X184="RCS",X184="POLICE",B184=""),"",1000)</f>
        <v/>
      </c>
      <c r="AI184" s="17">
        <f>IF(AE184="لم يدفع","",IF(AF184="","",AF184+AG184))</f>
        <v/>
      </c>
      <c r="AJ184" s="18">
        <f>IF(B184="","",IF(AE184="لم يدفع","🔒 مجمدة",IF(Z184="","",IF(Z184&lt;TODAY(),"⛔ منتهي - يتطلب تجديد",IF(Z184-5&lt;=TODAY(),"⚠️ قريب الانتهاء","✅ ساري")))))</f>
        <v/>
      </c>
      <c r="AK184" s="13" t="n"/>
      <c r="AL184" s="13" t="n"/>
      <c r="AM184" s="13" t="n"/>
      <c r="AN184" s="13" t="n"/>
      <c r="AO184" s="14">
        <f>IF(B184="","",IF(AK184&lt;&gt;"","الأحد والأربعاء",IF(AL184&lt;&gt;"","الاثنين والخميس",IF(AM184&lt;&gt;"","الثلاثاء والجمعة",IF(AN184&lt;&gt;"","كل الأيام","")))))</f>
        <v/>
      </c>
      <c r="AP184" s="13" t="n"/>
      <c r="AQ184" s="13" t="n"/>
      <c r="AR184" s="13" t="n"/>
      <c r="AS184" s="13" t="n"/>
      <c r="AT184" s="14">
        <f>IF(B184="","",IF(AP184&lt;&gt;"","09:00-10:00",IF(AQ184&lt;&gt;"","10:00-11:00",IF(AR184&lt;&gt;"","19:00-20:00",IF(AS184&lt;&gt;"","20:00-21:00","")))))</f>
        <v/>
      </c>
      <c r="AU184" s="19">
        <f>IF(B184="","",COUNTA(التجديد!E184:E184))</f>
        <v/>
      </c>
    </row>
    <row r="185" ht="22" customHeight="1">
      <c r="A185" s="10">
        <f>IF(B185="","","RCS "&amp;TEXT(ROW()-2,"000"))</f>
        <v/>
      </c>
      <c r="B185" s="11" t="n"/>
      <c r="C185" s="11" t="n"/>
      <c r="D185" s="12" t="n"/>
      <c r="E185" s="13" t="n"/>
      <c r="F185" s="13" t="n"/>
      <c r="G185" s="14">
        <f>IF(B185="","",IF(E185&lt;&gt;"","ذكر",IF(F185&lt;&gt;"","أنثى","")))</f>
        <v/>
      </c>
      <c r="H185" s="14">
        <f>IF(D185="","",DATEDIF(D185,TODAY(),"Y"))</f>
        <v/>
      </c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4">
        <f>IF(B185="","",IF(I185&lt;&gt;"","A+",IF(J185&lt;&gt;"","A-",IF(K185&lt;&gt;"","B+",IF(L185&lt;&gt;"","B-",IF(M185&lt;&gt;"","O+",IF(N185&lt;&gt;"","O-",IF(O185&lt;&gt;"","AB+",IF(P185&lt;&gt;"","AB-",""))))))))</f>
        <v/>
      </c>
      <c r="R185" s="13" t="n"/>
      <c r="S185" s="13" t="n"/>
      <c r="T185" s="13" t="n"/>
      <c r="U185" s="13" t="n"/>
      <c r="V185" s="13" t="n"/>
      <c r="W185" s="13" t="n"/>
      <c r="X185" s="14">
        <f>IF(B185="","",IF(R185&lt;&gt;"","/",IF(S185&lt;&gt;"","OPOW",IF(T185&lt;&gt;"","DJS",IF(U185&lt;&gt;"","FCS",IF(V185&lt;&gt;"","RCS",IF(W185&lt;&gt;"","POLICE","")))))))</f>
        <v/>
      </c>
      <c r="Y185" s="12" t="n"/>
      <c r="Z185" s="15">
        <f>IF(Y185="","",Y185+30)</f>
        <v/>
      </c>
      <c r="AA185" s="13" t="n"/>
      <c r="AB185" s="13" t="n"/>
      <c r="AC185" s="13" t="n"/>
      <c r="AD185" s="13" t="n"/>
      <c r="AE185" s="14">
        <f>IF(B185="","",IF(AA185&lt;&gt;"","مدفوع",IF(AB185&lt;&gt;"","لم يدفع",IF(AC185&lt;&gt;"","تأمين فقط",IF(AD185&lt;&gt;"","اشتراك 300","")))))</f>
        <v/>
      </c>
      <c r="AF185" s="16">
        <f>IF(OR(AE185="لم يدفع",B185=""),"",IF(OR(AE185="تأمين فقط",X185="FCS",X185="RCS"),0,IF(OR(AE185="اشتراك 300",X185="POLICE",X185="OPOW",X185="DJS"),300,IF(H185&lt;14,1300,1500))))</f>
        <v/>
      </c>
      <c r="AG185" s="16">
        <f>IF(OR(AE185="لم يدفع",B185=""),"",500)</f>
        <v/>
      </c>
      <c r="AH185" s="16">
        <f>IF(OR(AE185="لم يدفع",AE185="تأمين فقط",AE185="اشتراك 300",X185="OPOW",X185="DJS",X185="FCS",X185="RCS",X185="POLICE",B185=""),"",1000)</f>
        <v/>
      </c>
      <c r="AI185" s="17">
        <f>IF(AE185="لم يدفع","",IF(AF185="","",AF185+AG185))</f>
        <v/>
      </c>
      <c r="AJ185" s="18">
        <f>IF(B185="","",IF(AE185="لم يدفع","🔒 مجمدة",IF(Z185="","",IF(Z185&lt;TODAY(),"⛔ منتهي - يتطلب تجديد",IF(Z185-5&lt;=TODAY(),"⚠️ قريب الانتهاء","✅ ساري")))))</f>
        <v/>
      </c>
      <c r="AK185" s="13" t="n"/>
      <c r="AL185" s="13" t="n"/>
      <c r="AM185" s="13" t="n"/>
      <c r="AN185" s="13" t="n"/>
      <c r="AO185" s="14">
        <f>IF(B185="","",IF(AK185&lt;&gt;"","الأحد والأربعاء",IF(AL185&lt;&gt;"","الاثنين والخميس",IF(AM185&lt;&gt;"","الثلاثاء والجمعة",IF(AN185&lt;&gt;"","كل الأيام","")))))</f>
        <v/>
      </c>
      <c r="AP185" s="13" t="n"/>
      <c r="AQ185" s="13" t="n"/>
      <c r="AR185" s="13" t="n"/>
      <c r="AS185" s="13" t="n"/>
      <c r="AT185" s="14">
        <f>IF(B185="","",IF(AP185&lt;&gt;"","09:00-10:00",IF(AQ185&lt;&gt;"","10:00-11:00",IF(AR185&lt;&gt;"","19:00-20:00",IF(AS185&lt;&gt;"","20:00-21:00","")))))</f>
        <v/>
      </c>
      <c r="AU185" s="19">
        <f>IF(B185="","",COUNTA(التجديد!E185:E185))</f>
        <v/>
      </c>
    </row>
    <row r="186" ht="22" customHeight="1">
      <c r="A186" s="10">
        <f>IF(B186="","","RCS "&amp;TEXT(ROW()-2,"000"))</f>
        <v/>
      </c>
      <c r="B186" s="11" t="n"/>
      <c r="C186" s="11" t="n"/>
      <c r="D186" s="12" t="n"/>
      <c r="E186" s="13" t="n"/>
      <c r="F186" s="13" t="n"/>
      <c r="G186" s="14">
        <f>IF(B186="","",IF(E186&lt;&gt;"","ذكر",IF(F186&lt;&gt;"","أنثى","")))</f>
        <v/>
      </c>
      <c r="H186" s="14">
        <f>IF(D186="","",DATEDIF(D186,TODAY(),"Y"))</f>
        <v/>
      </c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4">
        <f>IF(B186="","",IF(I186&lt;&gt;"","A+",IF(J186&lt;&gt;"","A-",IF(K186&lt;&gt;"","B+",IF(L186&lt;&gt;"","B-",IF(M186&lt;&gt;"","O+",IF(N186&lt;&gt;"","O-",IF(O186&lt;&gt;"","AB+",IF(P186&lt;&gt;"","AB-",""))))))))</f>
        <v/>
      </c>
      <c r="R186" s="13" t="n"/>
      <c r="S186" s="13" t="n"/>
      <c r="T186" s="13" t="n"/>
      <c r="U186" s="13" t="n"/>
      <c r="V186" s="13" t="n"/>
      <c r="W186" s="13" t="n"/>
      <c r="X186" s="14">
        <f>IF(B186="","",IF(R186&lt;&gt;"","/",IF(S186&lt;&gt;"","OPOW",IF(T186&lt;&gt;"","DJS",IF(U186&lt;&gt;"","FCS",IF(V186&lt;&gt;"","RCS",IF(W186&lt;&gt;"","POLICE","")))))))</f>
        <v/>
      </c>
      <c r="Y186" s="12" t="n"/>
      <c r="Z186" s="15">
        <f>IF(Y186="","",Y186+30)</f>
        <v/>
      </c>
      <c r="AA186" s="13" t="n"/>
      <c r="AB186" s="13" t="n"/>
      <c r="AC186" s="13" t="n"/>
      <c r="AD186" s="13" t="n"/>
      <c r="AE186" s="14">
        <f>IF(B186="","",IF(AA186&lt;&gt;"","مدفوع",IF(AB186&lt;&gt;"","لم يدفع",IF(AC186&lt;&gt;"","تأمين فقط",IF(AD186&lt;&gt;"","اشتراك 300","")))))</f>
        <v/>
      </c>
      <c r="AF186" s="16">
        <f>IF(OR(AE186="لم يدفع",B186=""),"",IF(OR(AE186="تأمين فقط",X186="FCS",X186="RCS"),0,IF(OR(AE186="اشتراك 300",X186="POLICE",X186="OPOW",X186="DJS"),300,IF(H186&lt;14,1300,1500))))</f>
        <v/>
      </c>
      <c r="AG186" s="16">
        <f>IF(OR(AE186="لم يدفع",B186=""),"",500)</f>
        <v/>
      </c>
      <c r="AH186" s="16">
        <f>IF(OR(AE186="لم يدفع",AE186="تأمين فقط",AE186="اشتراك 300",X186="OPOW",X186="DJS",X186="FCS",X186="RCS",X186="POLICE",B186=""),"",1000)</f>
        <v/>
      </c>
      <c r="AI186" s="17">
        <f>IF(AE186="لم يدفع","",IF(AF186="","",AF186+AG186))</f>
        <v/>
      </c>
      <c r="AJ186" s="18">
        <f>IF(B186="","",IF(AE186="لم يدفع","🔒 مجمدة",IF(Z186="","",IF(Z186&lt;TODAY(),"⛔ منتهي - يتطلب تجديد",IF(Z186-5&lt;=TODAY(),"⚠️ قريب الانتهاء","✅ ساري")))))</f>
        <v/>
      </c>
      <c r="AK186" s="13" t="n"/>
      <c r="AL186" s="13" t="n"/>
      <c r="AM186" s="13" t="n"/>
      <c r="AN186" s="13" t="n"/>
      <c r="AO186" s="14">
        <f>IF(B186="","",IF(AK186&lt;&gt;"","الأحد والأربعاء",IF(AL186&lt;&gt;"","الاثنين والخميس",IF(AM186&lt;&gt;"","الثلاثاء والجمعة",IF(AN186&lt;&gt;"","كل الأيام","")))))</f>
        <v/>
      </c>
      <c r="AP186" s="13" t="n"/>
      <c r="AQ186" s="13" t="n"/>
      <c r="AR186" s="13" t="n"/>
      <c r="AS186" s="13" t="n"/>
      <c r="AT186" s="14">
        <f>IF(B186="","",IF(AP186&lt;&gt;"","09:00-10:00",IF(AQ186&lt;&gt;"","10:00-11:00",IF(AR186&lt;&gt;"","19:00-20:00",IF(AS186&lt;&gt;"","20:00-21:00","")))))</f>
        <v/>
      </c>
      <c r="AU186" s="19">
        <f>IF(B186="","",COUNTA(التجديد!E186:E186))</f>
        <v/>
      </c>
    </row>
    <row r="187" ht="22" customHeight="1">
      <c r="A187" s="10">
        <f>IF(B187="","","RCS "&amp;TEXT(ROW()-2,"000"))</f>
        <v/>
      </c>
      <c r="B187" s="11" t="n"/>
      <c r="C187" s="11" t="n"/>
      <c r="D187" s="12" t="n"/>
      <c r="E187" s="13" t="n"/>
      <c r="F187" s="13" t="n"/>
      <c r="G187" s="14">
        <f>IF(B187="","",IF(E187&lt;&gt;"","ذكر",IF(F187&lt;&gt;"","أنثى","")))</f>
        <v/>
      </c>
      <c r="H187" s="14">
        <f>IF(D187="","",DATEDIF(D187,TODAY(),"Y"))</f>
        <v/>
      </c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4">
        <f>IF(B187="","",IF(I187&lt;&gt;"","A+",IF(J187&lt;&gt;"","A-",IF(K187&lt;&gt;"","B+",IF(L187&lt;&gt;"","B-",IF(M187&lt;&gt;"","O+",IF(N187&lt;&gt;"","O-",IF(O187&lt;&gt;"","AB+",IF(P187&lt;&gt;"","AB-",""))))))))</f>
        <v/>
      </c>
      <c r="R187" s="13" t="n"/>
      <c r="S187" s="13" t="n"/>
      <c r="T187" s="13" t="n"/>
      <c r="U187" s="13" t="n"/>
      <c r="V187" s="13" t="n"/>
      <c r="W187" s="13" t="n"/>
      <c r="X187" s="14">
        <f>IF(B187="","",IF(R187&lt;&gt;"","/",IF(S187&lt;&gt;"","OPOW",IF(T187&lt;&gt;"","DJS",IF(U187&lt;&gt;"","FCS",IF(V187&lt;&gt;"","RCS",IF(W187&lt;&gt;"","POLICE","")))))))</f>
        <v/>
      </c>
      <c r="Y187" s="12" t="n"/>
      <c r="Z187" s="15">
        <f>IF(Y187="","",Y187+30)</f>
        <v/>
      </c>
      <c r="AA187" s="13" t="n"/>
      <c r="AB187" s="13" t="n"/>
      <c r="AC187" s="13" t="n"/>
      <c r="AD187" s="13" t="n"/>
      <c r="AE187" s="14">
        <f>IF(B187="","",IF(AA187&lt;&gt;"","مدفوع",IF(AB187&lt;&gt;"","لم يدفع",IF(AC187&lt;&gt;"","تأمين فقط",IF(AD187&lt;&gt;"","اشتراك 300","")))))</f>
        <v/>
      </c>
      <c r="AF187" s="16">
        <f>IF(OR(AE187="لم يدفع",B187=""),"",IF(OR(AE187="تأمين فقط",X187="FCS",X187="RCS"),0,IF(OR(AE187="اشتراك 300",X187="POLICE",X187="OPOW",X187="DJS"),300,IF(H187&lt;14,1300,1500))))</f>
        <v/>
      </c>
      <c r="AG187" s="16">
        <f>IF(OR(AE187="لم يدفع",B187=""),"",500)</f>
        <v/>
      </c>
      <c r="AH187" s="16">
        <f>IF(OR(AE187="لم يدفع",AE187="تأمين فقط",AE187="اشتراك 300",X187="OPOW",X187="DJS",X187="FCS",X187="RCS",X187="POLICE",B187=""),"",1000)</f>
        <v/>
      </c>
      <c r="AI187" s="17">
        <f>IF(AE187="لم يدفع","",IF(AF187="","",AF187+AG187))</f>
        <v/>
      </c>
      <c r="AJ187" s="18">
        <f>IF(B187="","",IF(AE187="لم يدفع","🔒 مجمدة",IF(Z187="","",IF(Z187&lt;TODAY(),"⛔ منتهي - يتطلب تجديد",IF(Z187-5&lt;=TODAY(),"⚠️ قريب الانتهاء","✅ ساري")))))</f>
        <v/>
      </c>
      <c r="AK187" s="13" t="n"/>
      <c r="AL187" s="13" t="n"/>
      <c r="AM187" s="13" t="n"/>
      <c r="AN187" s="13" t="n"/>
      <c r="AO187" s="14">
        <f>IF(B187="","",IF(AK187&lt;&gt;"","الأحد والأربعاء",IF(AL187&lt;&gt;"","الاثنين والخميس",IF(AM187&lt;&gt;"","الثلاثاء والجمعة",IF(AN187&lt;&gt;"","كل الأيام","")))))</f>
        <v/>
      </c>
      <c r="AP187" s="13" t="n"/>
      <c r="AQ187" s="13" t="n"/>
      <c r="AR187" s="13" t="n"/>
      <c r="AS187" s="13" t="n"/>
      <c r="AT187" s="14">
        <f>IF(B187="","",IF(AP187&lt;&gt;"","09:00-10:00",IF(AQ187&lt;&gt;"","10:00-11:00",IF(AR187&lt;&gt;"","19:00-20:00",IF(AS187&lt;&gt;"","20:00-21:00","")))))</f>
        <v/>
      </c>
      <c r="AU187" s="19">
        <f>IF(B187="","",COUNTA(التجديد!E187:E187))</f>
        <v/>
      </c>
    </row>
    <row r="188" ht="22" customHeight="1">
      <c r="A188" s="10">
        <f>IF(B188="","","RCS "&amp;TEXT(ROW()-2,"000"))</f>
        <v/>
      </c>
      <c r="B188" s="11" t="n"/>
      <c r="C188" s="11" t="n"/>
      <c r="D188" s="12" t="n"/>
      <c r="E188" s="13" t="n"/>
      <c r="F188" s="13" t="n"/>
      <c r="G188" s="14">
        <f>IF(B188="","",IF(E188&lt;&gt;"","ذكر",IF(F188&lt;&gt;"","أنثى","")))</f>
        <v/>
      </c>
      <c r="H188" s="14">
        <f>IF(D188="","",DATEDIF(D188,TODAY(),"Y"))</f>
        <v/>
      </c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4">
        <f>IF(B188="","",IF(I188&lt;&gt;"","A+",IF(J188&lt;&gt;"","A-",IF(K188&lt;&gt;"","B+",IF(L188&lt;&gt;"","B-",IF(M188&lt;&gt;"","O+",IF(N188&lt;&gt;"","O-",IF(O188&lt;&gt;"","AB+",IF(P188&lt;&gt;"","AB-",""))))))))</f>
        <v/>
      </c>
      <c r="R188" s="13" t="n"/>
      <c r="S188" s="13" t="n"/>
      <c r="T188" s="13" t="n"/>
      <c r="U188" s="13" t="n"/>
      <c r="V188" s="13" t="n"/>
      <c r="W188" s="13" t="n"/>
      <c r="X188" s="14">
        <f>IF(B188="","",IF(R188&lt;&gt;"","/",IF(S188&lt;&gt;"","OPOW",IF(T188&lt;&gt;"","DJS",IF(U188&lt;&gt;"","FCS",IF(V188&lt;&gt;"","RCS",IF(W188&lt;&gt;"","POLICE","")))))))</f>
        <v/>
      </c>
      <c r="Y188" s="12" t="n"/>
      <c r="Z188" s="15">
        <f>IF(Y188="","",Y188+30)</f>
        <v/>
      </c>
      <c r="AA188" s="13" t="n"/>
      <c r="AB188" s="13" t="n"/>
      <c r="AC188" s="13" t="n"/>
      <c r="AD188" s="13" t="n"/>
      <c r="AE188" s="14">
        <f>IF(B188="","",IF(AA188&lt;&gt;"","مدفوع",IF(AB188&lt;&gt;"","لم يدفع",IF(AC188&lt;&gt;"","تأمين فقط",IF(AD188&lt;&gt;"","اشتراك 300","")))))</f>
        <v/>
      </c>
      <c r="AF188" s="16">
        <f>IF(OR(AE188="لم يدفع",B188=""),"",IF(OR(AE188="تأمين فقط",X188="FCS",X188="RCS"),0,IF(OR(AE188="اشتراك 300",X188="POLICE",X188="OPOW",X188="DJS"),300,IF(H188&lt;14,1300,1500))))</f>
        <v/>
      </c>
      <c r="AG188" s="16">
        <f>IF(OR(AE188="لم يدفع",B188=""),"",500)</f>
        <v/>
      </c>
      <c r="AH188" s="16">
        <f>IF(OR(AE188="لم يدفع",AE188="تأمين فقط",AE188="اشتراك 300",X188="OPOW",X188="DJS",X188="FCS",X188="RCS",X188="POLICE",B188=""),"",1000)</f>
        <v/>
      </c>
      <c r="AI188" s="17">
        <f>IF(AE188="لم يدفع","",IF(AF188="","",AF188+AG188))</f>
        <v/>
      </c>
      <c r="AJ188" s="18">
        <f>IF(B188="","",IF(AE188="لم يدفع","🔒 مجمدة",IF(Z188="","",IF(Z188&lt;TODAY(),"⛔ منتهي - يتطلب تجديد",IF(Z188-5&lt;=TODAY(),"⚠️ قريب الانتهاء","✅ ساري")))))</f>
        <v/>
      </c>
      <c r="AK188" s="13" t="n"/>
      <c r="AL188" s="13" t="n"/>
      <c r="AM188" s="13" t="n"/>
      <c r="AN188" s="13" t="n"/>
      <c r="AO188" s="14">
        <f>IF(B188="","",IF(AK188&lt;&gt;"","الأحد والأربعاء",IF(AL188&lt;&gt;"","الاثنين والخميس",IF(AM188&lt;&gt;"","الثلاثاء والجمعة",IF(AN188&lt;&gt;"","كل الأيام","")))))</f>
        <v/>
      </c>
      <c r="AP188" s="13" t="n"/>
      <c r="AQ188" s="13" t="n"/>
      <c r="AR188" s="13" t="n"/>
      <c r="AS188" s="13" t="n"/>
      <c r="AT188" s="14">
        <f>IF(B188="","",IF(AP188&lt;&gt;"","09:00-10:00",IF(AQ188&lt;&gt;"","10:00-11:00",IF(AR188&lt;&gt;"","19:00-20:00",IF(AS188&lt;&gt;"","20:00-21:00","")))))</f>
        <v/>
      </c>
      <c r="AU188" s="19">
        <f>IF(B188="","",COUNTA(التجديد!E188:E188))</f>
        <v/>
      </c>
    </row>
    <row r="189" ht="22" customHeight="1">
      <c r="A189" s="10">
        <f>IF(B189="","","RCS "&amp;TEXT(ROW()-2,"000"))</f>
        <v/>
      </c>
      <c r="B189" s="11" t="n"/>
      <c r="C189" s="11" t="n"/>
      <c r="D189" s="12" t="n"/>
      <c r="E189" s="13" t="n"/>
      <c r="F189" s="13" t="n"/>
      <c r="G189" s="14">
        <f>IF(B189="","",IF(E189&lt;&gt;"","ذكر",IF(F189&lt;&gt;"","أنثى","")))</f>
        <v/>
      </c>
      <c r="H189" s="14">
        <f>IF(D189="","",DATEDIF(D189,TODAY(),"Y"))</f>
        <v/>
      </c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4">
        <f>IF(B189="","",IF(I189&lt;&gt;"","A+",IF(J189&lt;&gt;"","A-",IF(K189&lt;&gt;"","B+",IF(L189&lt;&gt;"","B-",IF(M189&lt;&gt;"","O+",IF(N189&lt;&gt;"","O-",IF(O189&lt;&gt;"","AB+",IF(P189&lt;&gt;"","AB-",""))))))))</f>
        <v/>
      </c>
      <c r="R189" s="13" t="n"/>
      <c r="S189" s="13" t="n"/>
      <c r="T189" s="13" t="n"/>
      <c r="U189" s="13" t="n"/>
      <c r="V189" s="13" t="n"/>
      <c r="W189" s="13" t="n"/>
      <c r="X189" s="14">
        <f>IF(B189="","",IF(R189&lt;&gt;"","/",IF(S189&lt;&gt;"","OPOW",IF(T189&lt;&gt;"","DJS",IF(U189&lt;&gt;"","FCS",IF(V189&lt;&gt;"","RCS",IF(W189&lt;&gt;"","POLICE","")))))))</f>
        <v/>
      </c>
      <c r="Y189" s="12" t="n"/>
      <c r="Z189" s="15">
        <f>IF(Y189="","",Y189+30)</f>
        <v/>
      </c>
      <c r="AA189" s="13" t="n"/>
      <c r="AB189" s="13" t="n"/>
      <c r="AC189" s="13" t="n"/>
      <c r="AD189" s="13" t="n"/>
      <c r="AE189" s="14">
        <f>IF(B189="","",IF(AA189&lt;&gt;"","مدفوع",IF(AB189&lt;&gt;"","لم يدفع",IF(AC189&lt;&gt;"","تأمين فقط",IF(AD189&lt;&gt;"","اشتراك 300","")))))</f>
        <v/>
      </c>
      <c r="AF189" s="16">
        <f>IF(OR(AE189="لم يدفع",B189=""),"",IF(OR(AE189="تأمين فقط",X189="FCS",X189="RCS"),0,IF(OR(AE189="اشتراك 300",X189="POLICE",X189="OPOW",X189="DJS"),300,IF(H189&lt;14,1300,1500))))</f>
        <v/>
      </c>
      <c r="AG189" s="16">
        <f>IF(OR(AE189="لم يدفع",B189=""),"",500)</f>
        <v/>
      </c>
      <c r="AH189" s="16">
        <f>IF(OR(AE189="لم يدفع",AE189="تأمين فقط",AE189="اشتراك 300",X189="OPOW",X189="DJS",X189="FCS",X189="RCS",X189="POLICE",B189=""),"",1000)</f>
        <v/>
      </c>
      <c r="AI189" s="17">
        <f>IF(AE189="لم يدفع","",IF(AF189="","",AF189+AG189))</f>
        <v/>
      </c>
      <c r="AJ189" s="18">
        <f>IF(B189="","",IF(AE189="لم يدفع","🔒 مجمدة",IF(Z189="","",IF(Z189&lt;TODAY(),"⛔ منتهي - يتطلب تجديد",IF(Z189-5&lt;=TODAY(),"⚠️ قريب الانتهاء","✅ ساري")))))</f>
        <v/>
      </c>
      <c r="AK189" s="13" t="n"/>
      <c r="AL189" s="13" t="n"/>
      <c r="AM189" s="13" t="n"/>
      <c r="AN189" s="13" t="n"/>
      <c r="AO189" s="14">
        <f>IF(B189="","",IF(AK189&lt;&gt;"","الأحد والأربعاء",IF(AL189&lt;&gt;"","الاثنين والخميس",IF(AM189&lt;&gt;"","الثلاثاء والجمعة",IF(AN189&lt;&gt;"","كل الأيام","")))))</f>
        <v/>
      </c>
      <c r="AP189" s="13" t="n"/>
      <c r="AQ189" s="13" t="n"/>
      <c r="AR189" s="13" t="n"/>
      <c r="AS189" s="13" t="n"/>
      <c r="AT189" s="14">
        <f>IF(B189="","",IF(AP189&lt;&gt;"","09:00-10:00",IF(AQ189&lt;&gt;"","10:00-11:00",IF(AR189&lt;&gt;"","19:00-20:00",IF(AS189&lt;&gt;"","20:00-21:00","")))))</f>
        <v/>
      </c>
      <c r="AU189" s="19">
        <f>IF(B189="","",COUNTA(التجديد!E189:E189))</f>
        <v/>
      </c>
    </row>
    <row r="190" ht="22" customHeight="1">
      <c r="A190" s="10">
        <f>IF(B190="","","RCS "&amp;TEXT(ROW()-2,"000"))</f>
        <v/>
      </c>
      <c r="B190" s="11" t="n"/>
      <c r="C190" s="11" t="n"/>
      <c r="D190" s="12" t="n"/>
      <c r="E190" s="13" t="n"/>
      <c r="F190" s="13" t="n"/>
      <c r="G190" s="14">
        <f>IF(B190="","",IF(E190&lt;&gt;"","ذكر",IF(F190&lt;&gt;"","أنثى","")))</f>
        <v/>
      </c>
      <c r="H190" s="14">
        <f>IF(D190="","",DATEDIF(D190,TODAY(),"Y"))</f>
        <v/>
      </c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4">
        <f>IF(B190="","",IF(I190&lt;&gt;"","A+",IF(J190&lt;&gt;"","A-",IF(K190&lt;&gt;"","B+",IF(L190&lt;&gt;"","B-",IF(M190&lt;&gt;"","O+",IF(N190&lt;&gt;"","O-",IF(O190&lt;&gt;"","AB+",IF(P190&lt;&gt;"","AB-",""))))))))</f>
        <v/>
      </c>
      <c r="R190" s="13" t="n"/>
      <c r="S190" s="13" t="n"/>
      <c r="T190" s="13" t="n"/>
      <c r="U190" s="13" t="n"/>
      <c r="V190" s="13" t="n"/>
      <c r="W190" s="13" t="n"/>
      <c r="X190" s="14">
        <f>IF(B190="","",IF(R190&lt;&gt;"","/",IF(S190&lt;&gt;"","OPOW",IF(T190&lt;&gt;"","DJS",IF(U190&lt;&gt;"","FCS",IF(V190&lt;&gt;"","RCS",IF(W190&lt;&gt;"","POLICE","")))))))</f>
        <v/>
      </c>
      <c r="Y190" s="12" t="n"/>
      <c r="Z190" s="15">
        <f>IF(Y190="","",Y190+30)</f>
        <v/>
      </c>
      <c r="AA190" s="13" t="n"/>
      <c r="AB190" s="13" t="n"/>
      <c r="AC190" s="13" t="n"/>
      <c r="AD190" s="13" t="n"/>
      <c r="AE190" s="14">
        <f>IF(B190="","",IF(AA190&lt;&gt;"","مدفوع",IF(AB190&lt;&gt;"","لم يدفع",IF(AC190&lt;&gt;"","تأمين فقط",IF(AD190&lt;&gt;"","اشتراك 300","")))))</f>
        <v/>
      </c>
      <c r="AF190" s="16">
        <f>IF(OR(AE190="لم يدفع",B190=""),"",IF(OR(AE190="تأمين فقط",X190="FCS",X190="RCS"),0,IF(OR(AE190="اشتراك 300",X190="POLICE",X190="OPOW",X190="DJS"),300,IF(H190&lt;14,1300,1500))))</f>
        <v/>
      </c>
      <c r="AG190" s="16">
        <f>IF(OR(AE190="لم يدفع",B190=""),"",500)</f>
        <v/>
      </c>
      <c r="AH190" s="16">
        <f>IF(OR(AE190="لم يدفع",AE190="تأمين فقط",AE190="اشتراك 300",X190="OPOW",X190="DJS",X190="FCS",X190="RCS",X190="POLICE",B190=""),"",1000)</f>
        <v/>
      </c>
      <c r="AI190" s="17">
        <f>IF(AE190="لم يدفع","",IF(AF190="","",AF190+AG190))</f>
        <v/>
      </c>
      <c r="AJ190" s="18">
        <f>IF(B190="","",IF(AE190="لم يدفع","🔒 مجمدة",IF(Z190="","",IF(Z190&lt;TODAY(),"⛔ منتهي - يتطلب تجديد",IF(Z190-5&lt;=TODAY(),"⚠️ قريب الانتهاء","✅ ساري")))))</f>
        <v/>
      </c>
      <c r="AK190" s="13" t="n"/>
      <c r="AL190" s="13" t="n"/>
      <c r="AM190" s="13" t="n"/>
      <c r="AN190" s="13" t="n"/>
      <c r="AO190" s="14">
        <f>IF(B190="","",IF(AK190&lt;&gt;"","الأحد والأربعاء",IF(AL190&lt;&gt;"","الاثنين والخميس",IF(AM190&lt;&gt;"","الثلاثاء والجمعة",IF(AN190&lt;&gt;"","كل الأيام","")))))</f>
        <v/>
      </c>
      <c r="AP190" s="13" t="n"/>
      <c r="AQ190" s="13" t="n"/>
      <c r="AR190" s="13" t="n"/>
      <c r="AS190" s="13" t="n"/>
      <c r="AT190" s="14">
        <f>IF(B190="","",IF(AP190&lt;&gt;"","09:00-10:00",IF(AQ190&lt;&gt;"","10:00-11:00",IF(AR190&lt;&gt;"","19:00-20:00",IF(AS190&lt;&gt;"","20:00-21:00","")))))</f>
        <v/>
      </c>
      <c r="AU190" s="19">
        <f>IF(B190="","",COUNTA(التجديد!E190:E190))</f>
        <v/>
      </c>
    </row>
    <row r="191" ht="22" customHeight="1">
      <c r="A191" s="10">
        <f>IF(B191="","","RCS "&amp;TEXT(ROW()-2,"000"))</f>
        <v/>
      </c>
      <c r="B191" s="11" t="n"/>
      <c r="C191" s="11" t="n"/>
      <c r="D191" s="12" t="n"/>
      <c r="E191" s="13" t="n"/>
      <c r="F191" s="13" t="n"/>
      <c r="G191" s="14">
        <f>IF(B191="","",IF(E191&lt;&gt;"","ذكر",IF(F191&lt;&gt;"","أنثى","")))</f>
        <v/>
      </c>
      <c r="H191" s="14">
        <f>IF(D191="","",DATEDIF(D191,TODAY(),"Y"))</f>
        <v/>
      </c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4">
        <f>IF(B191="","",IF(I191&lt;&gt;"","A+",IF(J191&lt;&gt;"","A-",IF(K191&lt;&gt;"","B+",IF(L191&lt;&gt;"","B-",IF(M191&lt;&gt;"","O+",IF(N191&lt;&gt;"","O-",IF(O191&lt;&gt;"","AB+",IF(P191&lt;&gt;"","AB-",""))))))))</f>
        <v/>
      </c>
      <c r="R191" s="13" t="n"/>
      <c r="S191" s="13" t="n"/>
      <c r="T191" s="13" t="n"/>
      <c r="U191" s="13" t="n"/>
      <c r="V191" s="13" t="n"/>
      <c r="W191" s="13" t="n"/>
      <c r="X191" s="14">
        <f>IF(B191="","",IF(R191&lt;&gt;"","/",IF(S191&lt;&gt;"","OPOW",IF(T191&lt;&gt;"","DJS",IF(U191&lt;&gt;"","FCS",IF(V191&lt;&gt;"","RCS",IF(W191&lt;&gt;"","POLICE","")))))))</f>
        <v/>
      </c>
      <c r="Y191" s="12" t="n"/>
      <c r="Z191" s="15">
        <f>IF(Y191="","",Y191+30)</f>
        <v/>
      </c>
      <c r="AA191" s="13" t="n"/>
      <c r="AB191" s="13" t="n"/>
      <c r="AC191" s="13" t="n"/>
      <c r="AD191" s="13" t="n"/>
      <c r="AE191" s="14">
        <f>IF(B191="","",IF(AA191&lt;&gt;"","مدفوع",IF(AB191&lt;&gt;"","لم يدفع",IF(AC191&lt;&gt;"","تأمين فقط",IF(AD191&lt;&gt;"","اشتراك 300","")))))</f>
        <v/>
      </c>
      <c r="AF191" s="16">
        <f>IF(OR(AE191="لم يدفع",B191=""),"",IF(OR(AE191="تأمين فقط",X191="FCS",X191="RCS"),0,IF(OR(AE191="اشتراك 300",X191="POLICE",X191="OPOW",X191="DJS"),300,IF(H191&lt;14,1300,1500))))</f>
        <v/>
      </c>
      <c r="AG191" s="16">
        <f>IF(OR(AE191="لم يدفع",B191=""),"",500)</f>
        <v/>
      </c>
      <c r="AH191" s="16">
        <f>IF(OR(AE191="لم يدفع",AE191="تأمين فقط",AE191="اشتراك 300",X191="OPOW",X191="DJS",X191="FCS",X191="RCS",X191="POLICE",B191=""),"",1000)</f>
        <v/>
      </c>
      <c r="AI191" s="17">
        <f>IF(AE191="لم يدفع","",IF(AF191="","",AF191+AG191))</f>
        <v/>
      </c>
      <c r="AJ191" s="18">
        <f>IF(B191="","",IF(AE191="لم يدفع","🔒 مجمدة",IF(Z191="","",IF(Z191&lt;TODAY(),"⛔ منتهي - يتطلب تجديد",IF(Z191-5&lt;=TODAY(),"⚠️ قريب الانتهاء","✅ ساري")))))</f>
        <v/>
      </c>
      <c r="AK191" s="13" t="n"/>
      <c r="AL191" s="13" t="n"/>
      <c r="AM191" s="13" t="n"/>
      <c r="AN191" s="13" t="n"/>
      <c r="AO191" s="14">
        <f>IF(B191="","",IF(AK191&lt;&gt;"","الأحد والأربعاء",IF(AL191&lt;&gt;"","الاثنين والخميس",IF(AM191&lt;&gt;"","الثلاثاء والجمعة",IF(AN191&lt;&gt;"","كل الأيام","")))))</f>
        <v/>
      </c>
      <c r="AP191" s="13" t="n"/>
      <c r="AQ191" s="13" t="n"/>
      <c r="AR191" s="13" t="n"/>
      <c r="AS191" s="13" t="n"/>
      <c r="AT191" s="14">
        <f>IF(B191="","",IF(AP191&lt;&gt;"","09:00-10:00",IF(AQ191&lt;&gt;"","10:00-11:00",IF(AR191&lt;&gt;"","19:00-20:00",IF(AS191&lt;&gt;"","20:00-21:00","")))))</f>
        <v/>
      </c>
      <c r="AU191" s="19">
        <f>IF(B191="","",COUNTA(التجديد!E191:E191))</f>
        <v/>
      </c>
    </row>
    <row r="192" ht="22" customHeight="1">
      <c r="A192" s="10">
        <f>IF(B192="","","RCS "&amp;TEXT(ROW()-2,"000"))</f>
        <v/>
      </c>
      <c r="B192" s="11" t="n"/>
      <c r="C192" s="11" t="n"/>
      <c r="D192" s="12" t="n"/>
      <c r="E192" s="13" t="n"/>
      <c r="F192" s="13" t="n"/>
      <c r="G192" s="14">
        <f>IF(B192="","",IF(E192&lt;&gt;"","ذكر",IF(F192&lt;&gt;"","أنثى","")))</f>
        <v/>
      </c>
      <c r="H192" s="14">
        <f>IF(D192="","",DATEDIF(D192,TODAY(),"Y"))</f>
        <v/>
      </c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4">
        <f>IF(B192="","",IF(I192&lt;&gt;"","A+",IF(J192&lt;&gt;"","A-",IF(K192&lt;&gt;"","B+",IF(L192&lt;&gt;"","B-",IF(M192&lt;&gt;"","O+",IF(N192&lt;&gt;"","O-",IF(O192&lt;&gt;"","AB+",IF(P192&lt;&gt;"","AB-",""))))))))</f>
        <v/>
      </c>
      <c r="R192" s="13" t="n"/>
      <c r="S192" s="13" t="n"/>
      <c r="T192" s="13" t="n"/>
      <c r="U192" s="13" t="n"/>
      <c r="V192" s="13" t="n"/>
      <c r="W192" s="13" t="n"/>
      <c r="X192" s="14">
        <f>IF(B192="","",IF(R192&lt;&gt;"","/",IF(S192&lt;&gt;"","OPOW",IF(T192&lt;&gt;"","DJS",IF(U192&lt;&gt;"","FCS",IF(V192&lt;&gt;"","RCS",IF(W192&lt;&gt;"","POLICE","")))))))</f>
        <v/>
      </c>
      <c r="Y192" s="12" t="n"/>
      <c r="Z192" s="15">
        <f>IF(Y192="","",Y192+30)</f>
        <v/>
      </c>
      <c r="AA192" s="13" t="n"/>
      <c r="AB192" s="13" t="n"/>
      <c r="AC192" s="13" t="n"/>
      <c r="AD192" s="13" t="n"/>
      <c r="AE192" s="14">
        <f>IF(B192="","",IF(AA192&lt;&gt;"","مدفوع",IF(AB192&lt;&gt;"","لم يدفع",IF(AC192&lt;&gt;"","تأمين فقط",IF(AD192&lt;&gt;"","اشتراك 300","")))))</f>
        <v/>
      </c>
      <c r="AF192" s="16">
        <f>IF(OR(AE192="لم يدفع",B192=""),"",IF(OR(AE192="تأمين فقط",X192="FCS",X192="RCS"),0,IF(OR(AE192="اشتراك 300",X192="POLICE",X192="OPOW",X192="DJS"),300,IF(H192&lt;14,1300,1500))))</f>
        <v/>
      </c>
      <c r="AG192" s="16">
        <f>IF(OR(AE192="لم يدفع",B192=""),"",500)</f>
        <v/>
      </c>
      <c r="AH192" s="16">
        <f>IF(OR(AE192="لم يدفع",AE192="تأمين فقط",AE192="اشتراك 300",X192="OPOW",X192="DJS",X192="FCS",X192="RCS",X192="POLICE",B192=""),"",1000)</f>
        <v/>
      </c>
      <c r="AI192" s="17">
        <f>IF(AE192="لم يدفع","",IF(AF192="","",AF192+AG192))</f>
        <v/>
      </c>
      <c r="AJ192" s="18">
        <f>IF(B192="","",IF(AE192="لم يدفع","🔒 مجمدة",IF(Z192="","",IF(Z192&lt;TODAY(),"⛔ منتهي - يتطلب تجديد",IF(Z192-5&lt;=TODAY(),"⚠️ قريب الانتهاء","✅ ساري")))))</f>
        <v/>
      </c>
      <c r="AK192" s="13" t="n"/>
      <c r="AL192" s="13" t="n"/>
      <c r="AM192" s="13" t="n"/>
      <c r="AN192" s="13" t="n"/>
      <c r="AO192" s="14">
        <f>IF(B192="","",IF(AK192&lt;&gt;"","الأحد والأربعاء",IF(AL192&lt;&gt;"","الاثنين والخميس",IF(AM192&lt;&gt;"","الثلاثاء والجمعة",IF(AN192&lt;&gt;"","كل الأيام","")))))</f>
        <v/>
      </c>
      <c r="AP192" s="13" t="n"/>
      <c r="AQ192" s="13" t="n"/>
      <c r="AR192" s="13" t="n"/>
      <c r="AS192" s="13" t="n"/>
      <c r="AT192" s="14">
        <f>IF(B192="","",IF(AP192&lt;&gt;"","09:00-10:00",IF(AQ192&lt;&gt;"","10:00-11:00",IF(AR192&lt;&gt;"","19:00-20:00",IF(AS192&lt;&gt;"","20:00-21:00","")))))</f>
        <v/>
      </c>
      <c r="AU192" s="19">
        <f>IF(B192="","",COUNTA(التجديد!E192:E192))</f>
        <v/>
      </c>
    </row>
    <row r="193" ht="22" customHeight="1">
      <c r="A193" s="10">
        <f>IF(B193="","","RCS "&amp;TEXT(ROW()-2,"000"))</f>
        <v/>
      </c>
      <c r="B193" s="11" t="n"/>
      <c r="C193" s="11" t="n"/>
      <c r="D193" s="12" t="n"/>
      <c r="E193" s="13" t="n"/>
      <c r="F193" s="13" t="n"/>
      <c r="G193" s="14">
        <f>IF(B193="","",IF(E193&lt;&gt;"","ذكر",IF(F193&lt;&gt;"","أنثى","")))</f>
        <v/>
      </c>
      <c r="H193" s="14">
        <f>IF(D193="","",DATEDIF(D193,TODAY(),"Y"))</f>
        <v/>
      </c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4">
        <f>IF(B193="","",IF(I193&lt;&gt;"","A+",IF(J193&lt;&gt;"","A-",IF(K193&lt;&gt;"","B+",IF(L193&lt;&gt;"","B-",IF(M193&lt;&gt;"","O+",IF(N193&lt;&gt;"","O-",IF(O193&lt;&gt;"","AB+",IF(P193&lt;&gt;"","AB-",""))))))))</f>
        <v/>
      </c>
      <c r="R193" s="13" t="n"/>
      <c r="S193" s="13" t="n"/>
      <c r="T193" s="13" t="n"/>
      <c r="U193" s="13" t="n"/>
      <c r="V193" s="13" t="n"/>
      <c r="W193" s="13" t="n"/>
      <c r="X193" s="14">
        <f>IF(B193="","",IF(R193&lt;&gt;"","/",IF(S193&lt;&gt;"","OPOW",IF(T193&lt;&gt;"","DJS",IF(U193&lt;&gt;"","FCS",IF(V193&lt;&gt;"","RCS",IF(W193&lt;&gt;"","POLICE","")))))))</f>
        <v/>
      </c>
      <c r="Y193" s="12" t="n"/>
      <c r="Z193" s="15">
        <f>IF(Y193="","",Y193+30)</f>
        <v/>
      </c>
      <c r="AA193" s="13" t="n"/>
      <c r="AB193" s="13" t="n"/>
      <c r="AC193" s="13" t="n"/>
      <c r="AD193" s="13" t="n"/>
      <c r="AE193" s="14">
        <f>IF(B193="","",IF(AA193&lt;&gt;"","مدفوع",IF(AB193&lt;&gt;"","لم يدفع",IF(AC193&lt;&gt;"","تأمين فقط",IF(AD193&lt;&gt;"","اشتراك 300","")))))</f>
        <v/>
      </c>
      <c r="AF193" s="16">
        <f>IF(OR(AE193="لم يدفع",B193=""),"",IF(OR(AE193="تأمين فقط",X193="FCS",X193="RCS"),0,IF(OR(AE193="اشتراك 300",X193="POLICE",X193="OPOW",X193="DJS"),300,IF(H193&lt;14,1300,1500))))</f>
        <v/>
      </c>
      <c r="AG193" s="16">
        <f>IF(OR(AE193="لم يدفع",B193=""),"",500)</f>
        <v/>
      </c>
      <c r="AH193" s="16">
        <f>IF(OR(AE193="لم يدفع",AE193="تأمين فقط",AE193="اشتراك 300",X193="OPOW",X193="DJS",X193="FCS",X193="RCS",X193="POLICE",B193=""),"",1000)</f>
        <v/>
      </c>
      <c r="AI193" s="17">
        <f>IF(AE193="لم يدفع","",IF(AF193="","",AF193+AG193))</f>
        <v/>
      </c>
      <c r="AJ193" s="18">
        <f>IF(B193="","",IF(AE193="لم يدفع","🔒 مجمدة",IF(Z193="","",IF(Z193&lt;TODAY(),"⛔ منتهي - يتطلب تجديد",IF(Z193-5&lt;=TODAY(),"⚠️ قريب الانتهاء","✅ ساري")))))</f>
        <v/>
      </c>
      <c r="AK193" s="13" t="n"/>
      <c r="AL193" s="13" t="n"/>
      <c r="AM193" s="13" t="n"/>
      <c r="AN193" s="13" t="n"/>
      <c r="AO193" s="14">
        <f>IF(B193="","",IF(AK193&lt;&gt;"","الأحد والأربعاء",IF(AL193&lt;&gt;"","الاثنين والخميس",IF(AM193&lt;&gt;"","الثلاثاء والجمعة",IF(AN193&lt;&gt;"","كل الأيام","")))))</f>
        <v/>
      </c>
      <c r="AP193" s="13" t="n"/>
      <c r="AQ193" s="13" t="n"/>
      <c r="AR193" s="13" t="n"/>
      <c r="AS193" s="13" t="n"/>
      <c r="AT193" s="14">
        <f>IF(B193="","",IF(AP193&lt;&gt;"","09:00-10:00",IF(AQ193&lt;&gt;"","10:00-11:00",IF(AR193&lt;&gt;"","19:00-20:00",IF(AS193&lt;&gt;"","20:00-21:00","")))))</f>
        <v/>
      </c>
      <c r="AU193" s="19">
        <f>IF(B193="","",COUNTA(التجديد!E193:E193))</f>
        <v/>
      </c>
    </row>
    <row r="194" ht="22" customHeight="1">
      <c r="A194" s="10">
        <f>IF(B194="","","RCS "&amp;TEXT(ROW()-2,"000"))</f>
        <v/>
      </c>
      <c r="B194" s="11" t="n"/>
      <c r="C194" s="11" t="n"/>
      <c r="D194" s="12" t="n"/>
      <c r="E194" s="13" t="n"/>
      <c r="F194" s="13" t="n"/>
      <c r="G194" s="14">
        <f>IF(B194="","",IF(E194&lt;&gt;"","ذكر",IF(F194&lt;&gt;"","أنثى","")))</f>
        <v/>
      </c>
      <c r="H194" s="14">
        <f>IF(D194="","",DATEDIF(D194,TODAY(),"Y"))</f>
        <v/>
      </c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4">
        <f>IF(B194="","",IF(I194&lt;&gt;"","A+",IF(J194&lt;&gt;"","A-",IF(K194&lt;&gt;"","B+",IF(L194&lt;&gt;"","B-",IF(M194&lt;&gt;"","O+",IF(N194&lt;&gt;"","O-",IF(O194&lt;&gt;"","AB+",IF(P194&lt;&gt;"","AB-",""))))))))</f>
        <v/>
      </c>
      <c r="R194" s="13" t="n"/>
      <c r="S194" s="13" t="n"/>
      <c r="T194" s="13" t="n"/>
      <c r="U194" s="13" t="n"/>
      <c r="V194" s="13" t="n"/>
      <c r="W194" s="13" t="n"/>
      <c r="X194" s="14">
        <f>IF(B194="","",IF(R194&lt;&gt;"","/",IF(S194&lt;&gt;"","OPOW",IF(T194&lt;&gt;"","DJS",IF(U194&lt;&gt;"","FCS",IF(V194&lt;&gt;"","RCS",IF(W194&lt;&gt;"","POLICE","")))))))</f>
        <v/>
      </c>
      <c r="Y194" s="12" t="n"/>
      <c r="Z194" s="15">
        <f>IF(Y194="","",Y194+30)</f>
        <v/>
      </c>
      <c r="AA194" s="13" t="n"/>
      <c r="AB194" s="13" t="n"/>
      <c r="AC194" s="13" t="n"/>
      <c r="AD194" s="13" t="n"/>
      <c r="AE194" s="14">
        <f>IF(B194="","",IF(AA194&lt;&gt;"","مدفوع",IF(AB194&lt;&gt;"","لم يدفع",IF(AC194&lt;&gt;"","تأمين فقط",IF(AD194&lt;&gt;"","اشتراك 300","")))))</f>
        <v/>
      </c>
      <c r="AF194" s="16">
        <f>IF(OR(AE194="لم يدفع",B194=""),"",IF(OR(AE194="تأمين فقط",X194="FCS",X194="RCS"),0,IF(OR(AE194="اشتراك 300",X194="POLICE",X194="OPOW",X194="DJS"),300,IF(H194&lt;14,1300,1500))))</f>
        <v/>
      </c>
      <c r="AG194" s="16">
        <f>IF(OR(AE194="لم يدفع",B194=""),"",500)</f>
        <v/>
      </c>
      <c r="AH194" s="16">
        <f>IF(OR(AE194="لم يدفع",AE194="تأمين فقط",AE194="اشتراك 300",X194="OPOW",X194="DJS",X194="FCS",X194="RCS",X194="POLICE",B194=""),"",1000)</f>
        <v/>
      </c>
      <c r="AI194" s="17">
        <f>IF(AE194="لم يدفع","",IF(AF194="","",AF194+AG194))</f>
        <v/>
      </c>
      <c r="AJ194" s="18">
        <f>IF(B194="","",IF(AE194="لم يدفع","🔒 مجمدة",IF(Z194="","",IF(Z194&lt;TODAY(),"⛔ منتهي - يتطلب تجديد",IF(Z194-5&lt;=TODAY(),"⚠️ قريب الانتهاء","✅ ساري")))))</f>
        <v/>
      </c>
      <c r="AK194" s="13" t="n"/>
      <c r="AL194" s="13" t="n"/>
      <c r="AM194" s="13" t="n"/>
      <c r="AN194" s="13" t="n"/>
      <c r="AO194" s="14">
        <f>IF(B194="","",IF(AK194&lt;&gt;"","الأحد والأربعاء",IF(AL194&lt;&gt;"","الاثنين والخميس",IF(AM194&lt;&gt;"","الثلاثاء والجمعة",IF(AN194&lt;&gt;"","كل الأيام","")))))</f>
        <v/>
      </c>
      <c r="AP194" s="13" t="n"/>
      <c r="AQ194" s="13" t="n"/>
      <c r="AR194" s="13" t="n"/>
      <c r="AS194" s="13" t="n"/>
      <c r="AT194" s="14">
        <f>IF(B194="","",IF(AP194&lt;&gt;"","09:00-10:00",IF(AQ194&lt;&gt;"","10:00-11:00",IF(AR194&lt;&gt;"","19:00-20:00",IF(AS194&lt;&gt;"","20:00-21:00","")))))</f>
        <v/>
      </c>
      <c r="AU194" s="19">
        <f>IF(B194="","",COUNTA(التجديد!E194:E194))</f>
        <v/>
      </c>
    </row>
    <row r="195" ht="22" customHeight="1">
      <c r="A195" s="10">
        <f>IF(B195="","","RCS "&amp;TEXT(ROW()-2,"000"))</f>
        <v/>
      </c>
      <c r="B195" s="11" t="n"/>
      <c r="C195" s="11" t="n"/>
      <c r="D195" s="12" t="n"/>
      <c r="E195" s="13" t="n"/>
      <c r="F195" s="13" t="n"/>
      <c r="G195" s="14">
        <f>IF(B195="","",IF(E195&lt;&gt;"","ذكر",IF(F195&lt;&gt;"","أنثى","")))</f>
        <v/>
      </c>
      <c r="H195" s="14">
        <f>IF(D195="","",DATEDIF(D195,TODAY(),"Y"))</f>
        <v/>
      </c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4">
        <f>IF(B195="","",IF(I195&lt;&gt;"","A+",IF(J195&lt;&gt;"","A-",IF(K195&lt;&gt;"","B+",IF(L195&lt;&gt;"","B-",IF(M195&lt;&gt;"","O+",IF(N195&lt;&gt;"","O-",IF(O195&lt;&gt;"","AB+",IF(P195&lt;&gt;"","AB-",""))))))))</f>
        <v/>
      </c>
      <c r="R195" s="13" t="n"/>
      <c r="S195" s="13" t="n"/>
      <c r="T195" s="13" t="n"/>
      <c r="U195" s="13" t="n"/>
      <c r="V195" s="13" t="n"/>
      <c r="W195" s="13" t="n"/>
      <c r="X195" s="14">
        <f>IF(B195="","",IF(R195&lt;&gt;"","/",IF(S195&lt;&gt;"","OPOW",IF(T195&lt;&gt;"","DJS",IF(U195&lt;&gt;"","FCS",IF(V195&lt;&gt;"","RCS",IF(W195&lt;&gt;"","POLICE","")))))))</f>
        <v/>
      </c>
      <c r="Y195" s="12" t="n"/>
      <c r="Z195" s="15">
        <f>IF(Y195="","",Y195+30)</f>
        <v/>
      </c>
      <c r="AA195" s="13" t="n"/>
      <c r="AB195" s="13" t="n"/>
      <c r="AC195" s="13" t="n"/>
      <c r="AD195" s="13" t="n"/>
      <c r="AE195" s="14">
        <f>IF(B195="","",IF(AA195&lt;&gt;"","مدفوع",IF(AB195&lt;&gt;"","لم يدفع",IF(AC195&lt;&gt;"","تأمين فقط",IF(AD195&lt;&gt;"","اشتراك 300","")))))</f>
        <v/>
      </c>
      <c r="AF195" s="16">
        <f>IF(OR(AE195="لم يدفع",B195=""),"",IF(OR(AE195="تأمين فقط",X195="FCS",X195="RCS"),0,IF(OR(AE195="اشتراك 300",X195="POLICE",X195="OPOW",X195="DJS"),300,IF(H195&lt;14,1300,1500))))</f>
        <v/>
      </c>
      <c r="AG195" s="16">
        <f>IF(OR(AE195="لم يدفع",B195=""),"",500)</f>
        <v/>
      </c>
      <c r="AH195" s="16">
        <f>IF(OR(AE195="لم يدفع",AE195="تأمين فقط",AE195="اشتراك 300",X195="OPOW",X195="DJS",X195="FCS",X195="RCS",X195="POLICE",B195=""),"",1000)</f>
        <v/>
      </c>
      <c r="AI195" s="17">
        <f>IF(AE195="لم يدفع","",IF(AF195="","",AF195+AG195))</f>
        <v/>
      </c>
      <c r="AJ195" s="18">
        <f>IF(B195="","",IF(AE195="لم يدفع","🔒 مجمدة",IF(Z195="","",IF(Z195&lt;TODAY(),"⛔ منتهي - يتطلب تجديد",IF(Z195-5&lt;=TODAY(),"⚠️ قريب الانتهاء","✅ ساري")))))</f>
        <v/>
      </c>
      <c r="AK195" s="13" t="n"/>
      <c r="AL195" s="13" t="n"/>
      <c r="AM195" s="13" t="n"/>
      <c r="AN195" s="13" t="n"/>
      <c r="AO195" s="14">
        <f>IF(B195="","",IF(AK195&lt;&gt;"","الأحد والأربعاء",IF(AL195&lt;&gt;"","الاثنين والخميس",IF(AM195&lt;&gt;"","الثلاثاء والجمعة",IF(AN195&lt;&gt;"","كل الأيام","")))))</f>
        <v/>
      </c>
      <c r="AP195" s="13" t="n"/>
      <c r="AQ195" s="13" t="n"/>
      <c r="AR195" s="13" t="n"/>
      <c r="AS195" s="13" t="n"/>
      <c r="AT195" s="14">
        <f>IF(B195="","",IF(AP195&lt;&gt;"","09:00-10:00",IF(AQ195&lt;&gt;"","10:00-11:00",IF(AR195&lt;&gt;"","19:00-20:00",IF(AS195&lt;&gt;"","20:00-21:00","")))))</f>
        <v/>
      </c>
      <c r="AU195" s="19">
        <f>IF(B195="","",COUNTA(التجديد!E195:E195))</f>
        <v/>
      </c>
    </row>
    <row r="196" ht="22" customHeight="1">
      <c r="A196" s="10">
        <f>IF(B196="","","RCS "&amp;TEXT(ROW()-2,"000"))</f>
        <v/>
      </c>
      <c r="B196" s="11" t="n"/>
      <c r="C196" s="11" t="n"/>
      <c r="D196" s="12" t="n"/>
      <c r="E196" s="13" t="n"/>
      <c r="F196" s="13" t="n"/>
      <c r="G196" s="14">
        <f>IF(B196="","",IF(E196&lt;&gt;"","ذكر",IF(F196&lt;&gt;"","أنثى","")))</f>
        <v/>
      </c>
      <c r="H196" s="14">
        <f>IF(D196="","",DATEDIF(D196,TODAY(),"Y"))</f>
        <v/>
      </c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4">
        <f>IF(B196="","",IF(I196&lt;&gt;"","A+",IF(J196&lt;&gt;"","A-",IF(K196&lt;&gt;"","B+",IF(L196&lt;&gt;"","B-",IF(M196&lt;&gt;"","O+",IF(N196&lt;&gt;"","O-",IF(O196&lt;&gt;"","AB+",IF(P196&lt;&gt;"","AB-",""))))))))</f>
        <v/>
      </c>
      <c r="R196" s="13" t="n"/>
      <c r="S196" s="13" t="n"/>
      <c r="T196" s="13" t="n"/>
      <c r="U196" s="13" t="n"/>
      <c r="V196" s="13" t="n"/>
      <c r="W196" s="13" t="n"/>
      <c r="X196" s="14">
        <f>IF(B196="","",IF(R196&lt;&gt;"","/",IF(S196&lt;&gt;"","OPOW",IF(T196&lt;&gt;"","DJS",IF(U196&lt;&gt;"","FCS",IF(V196&lt;&gt;"","RCS",IF(W196&lt;&gt;"","POLICE","")))))))</f>
        <v/>
      </c>
      <c r="Y196" s="12" t="n"/>
      <c r="Z196" s="15">
        <f>IF(Y196="","",Y196+30)</f>
        <v/>
      </c>
      <c r="AA196" s="13" t="n"/>
      <c r="AB196" s="13" t="n"/>
      <c r="AC196" s="13" t="n"/>
      <c r="AD196" s="13" t="n"/>
      <c r="AE196" s="14">
        <f>IF(B196="","",IF(AA196&lt;&gt;"","مدفوع",IF(AB196&lt;&gt;"","لم يدفع",IF(AC196&lt;&gt;"","تأمين فقط",IF(AD196&lt;&gt;"","اشتراك 300","")))))</f>
        <v/>
      </c>
      <c r="AF196" s="16">
        <f>IF(OR(AE196="لم يدفع",B196=""),"",IF(OR(AE196="تأمين فقط",X196="FCS",X196="RCS"),0,IF(OR(AE196="اشتراك 300",X196="POLICE",X196="OPOW",X196="DJS"),300,IF(H196&lt;14,1300,1500))))</f>
        <v/>
      </c>
      <c r="AG196" s="16">
        <f>IF(OR(AE196="لم يدفع",B196=""),"",500)</f>
        <v/>
      </c>
      <c r="AH196" s="16">
        <f>IF(OR(AE196="لم يدفع",AE196="تأمين فقط",AE196="اشتراك 300",X196="OPOW",X196="DJS",X196="FCS",X196="RCS",X196="POLICE",B196=""),"",1000)</f>
        <v/>
      </c>
      <c r="AI196" s="17">
        <f>IF(AE196="لم يدفع","",IF(AF196="","",AF196+AG196))</f>
        <v/>
      </c>
      <c r="AJ196" s="18">
        <f>IF(B196="","",IF(AE196="لم يدفع","🔒 مجمدة",IF(Z196="","",IF(Z196&lt;TODAY(),"⛔ منتهي - يتطلب تجديد",IF(Z196-5&lt;=TODAY(),"⚠️ قريب الانتهاء","✅ ساري")))))</f>
        <v/>
      </c>
      <c r="AK196" s="13" t="n"/>
      <c r="AL196" s="13" t="n"/>
      <c r="AM196" s="13" t="n"/>
      <c r="AN196" s="13" t="n"/>
      <c r="AO196" s="14">
        <f>IF(B196="","",IF(AK196&lt;&gt;"","الأحد والأربعاء",IF(AL196&lt;&gt;"","الاثنين والخميس",IF(AM196&lt;&gt;"","الثلاثاء والجمعة",IF(AN196&lt;&gt;"","كل الأيام","")))))</f>
        <v/>
      </c>
      <c r="AP196" s="13" t="n"/>
      <c r="AQ196" s="13" t="n"/>
      <c r="AR196" s="13" t="n"/>
      <c r="AS196" s="13" t="n"/>
      <c r="AT196" s="14">
        <f>IF(B196="","",IF(AP196&lt;&gt;"","09:00-10:00",IF(AQ196&lt;&gt;"","10:00-11:00",IF(AR196&lt;&gt;"","19:00-20:00",IF(AS196&lt;&gt;"","20:00-21:00","")))))</f>
        <v/>
      </c>
      <c r="AU196" s="19">
        <f>IF(B196="","",COUNTA(التجديد!E196:E196))</f>
        <v/>
      </c>
    </row>
    <row r="197" ht="22" customHeight="1">
      <c r="A197" s="10">
        <f>IF(B197="","","RCS "&amp;TEXT(ROW()-2,"000"))</f>
        <v/>
      </c>
      <c r="B197" s="11" t="n"/>
      <c r="C197" s="11" t="n"/>
      <c r="D197" s="12" t="n"/>
      <c r="E197" s="13" t="n"/>
      <c r="F197" s="13" t="n"/>
      <c r="G197" s="14">
        <f>IF(B197="","",IF(E197&lt;&gt;"","ذكر",IF(F197&lt;&gt;"","أنثى","")))</f>
        <v/>
      </c>
      <c r="H197" s="14">
        <f>IF(D197="","",DATEDIF(D197,TODAY(),"Y"))</f>
        <v/>
      </c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4">
        <f>IF(B197="","",IF(I197&lt;&gt;"","A+",IF(J197&lt;&gt;"","A-",IF(K197&lt;&gt;"","B+",IF(L197&lt;&gt;"","B-",IF(M197&lt;&gt;"","O+",IF(N197&lt;&gt;"","O-",IF(O197&lt;&gt;"","AB+",IF(P197&lt;&gt;"","AB-",""))))))))</f>
        <v/>
      </c>
      <c r="R197" s="13" t="n"/>
      <c r="S197" s="13" t="n"/>
      <c r="T197" s="13" t="n"/>
      <c r="U197" s="13" t="n"/>
      <c r="V197" s="13" t="n"/>
      <c r="W197" s="13" t="n"/>
      <c r="X197" s="14">
        <f>IF(B197="","",IF(R197&lt;&gt;"","/",IF(S197&lt;&gt;"","OPOW",IF(T197&lt;&gt;"","DJS",IF(U197&lt;&gt;"","FCS",IF(V197&lt;&gt;"","RCS",IF(W197&lt;&gt;"","POLICE","")))))))</f>
        <v/>
      </c>
      <c r="Y197" s="12" t="n"/>
      <c r="Z197" s="15">
        <f>IF(Y197="","",Y197+30)</f>
        <v/>
      </c>
      <c r="AA197" s="13" t="n"/>
      <c r="AB197" s="13" t="n"/>
      <c r="AC197" s="13" t="n"/>
      <c r="AD197" s="13" t="n"/>
      <c r="AE197" s="14">
        <f>IF(B197="","",IF(AA197&lt;&gt;"","مدفوع",IF(AB197&lt;&gt;"","لم يدفع",IF(AC197&lt;&gt;"","تأمين فقط",IF(AD197&lt;&gt;"","اشتراك 300","")))))</f>
        <v/>
      </c>
      <c r="AF197" s="16">
        <f>IF(OR(AE197="لم يدفع",B197=""),"",IF(OR(AE197="تأمين فقط",X197="FCS",X197="RCS"),0,IF(OR(AE197="اشتراك 300",X197="POLICE",X197="OPOW",X197="DJS"),300,IF(H197&lt;14,1300,1500))))</f>
        <v/>
      </c>
      <c r="AG197" s="16">
        <f>IF(OR(AE197="لم يدفع",B197=""),"",500)</f>
        <v/>
      </c>
      <c r="AH197" s="16">
        <f>IF(OR(AE197="لم يدفع",AE197="تأمين فقط",AE197="اشتراك 300",X197="OPOW",X197="DJS",X197="FCS",X197="RCS",X197="POLICE",B197=""),"",1000)</f>
        <v/>
      </c>
      <c r="AI197" s="17">
        <f>IF(AE197="لم يدفع","",IF(AF197="","",AF197+AG197))</f>
        <v/>
      </c>
      <c r="AJ197" s="18">
        <f>IF(B197="","",IF(AE197="لم يدفع","🔒 مجمدة",IF(Z197="","",IF(Z197&lt;TODAY(),"⛔ منتهي - يتطلب تجديد",IF(Z197-5&lt;=TODAY(),"⚠️ قريب الانتهاء","✅ ساري")))))</f>
        <v/>
      </c>
      <c r="AK197" s="13" t="n"/>
      <c r="AL197" s="13" t="n"/>
      <c r="AM197" s="13" t="n"/>
      <c r="AN197" s="13" t="n"/>
      <c r="AO197" s="14">
        <f>IF(B197="","",IF(AK197&lt;&gt;"","الأحد والأربعاء",IF(AL197&lt;&gt;"","الاثنين والخميس",IF(AM197&lt;&gt;"","الثلاثاء والجمعة",IF(AN197&lt;&gt;"","كل الأيام","")))))</f>
        <v/>
      </c>
      <c r="AP197" s="13" t="n"/>
      <c r="AQ197" s="13" t="n"/>
      <c r="AR197" s="13" t="n"/>
      <c r="AS197" s="13" t="n"/>
      <c r="AT197" s="14">
        <f>IF(B197="","",IF(AP197&lt;&gt;"","09:00-10:00",IF(AQ197&lt;&gt;"","10:00-11:00",IF(AR197&lt;&gt;"","19:00-20:00",IF(AS197&lt;&gt;"","20:00-21:00","")))))</f>
        <v/>
      </c>
      <c r="AU197" s="19">
        <f>IF(B197="","",COUNTA(التجديد!E197:E197))</f>
        <v/>
      </c>
    </row>
    <row r="198" ht="22" customHeight="1">
      <c r="A198" s="10">
        <f>IF(B198="","","RCS "&amp;TEXT(ROW()-2,"000"))</f>
        <v/>
      </c>
      <c r="B198" s="11" t="n"/>
      <c r="C198" s="11" t="n"/>
      <c r="D198" s="12" t="n"/>
      <c r="E198" s="13" t="n"/>
      <c r="F198" s="13" t="n"/>
      <c r="G198" s="14">
        <f>IF(B198="","",IF(E198&lt;&gt;"","ذكر",IF(F198&lt;&gt;"","أنثى","")))</f>
        <v/>
      </c>
      <c r="H198" s="14">
        <f>IF(D198="","",DATEDIF(D198,TODAY(),"Y"))</f>
        <v/>
      </c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4">
        <f>IF(B198="","",IF(I198&lt;&gt;"","A+",IF(J198&lt;&gt;"","A-",IF(K198&lt;&gt;"","B+",IF(L198&lt;&gt;"","B-",IF(M198&lt;&gt;"","O+",IF(N198&lt;&gt;"","O-",IF(O198&lt;&gt;"","AB+",IF(P198&lt;&gt;"","AB-",""))))))))</f>
        <v/>
      </c>
      <c r="R198" s="13" t="n"/>
      <c r="S198" s="13" t="n"/>
      <c r="T198" s="13" t="n"/>
      <c r="U198" s="13" t="n"/>
      <c r="V198" s="13" t="n"/>
      <c r="W198" s="13" t="n"/>
      <c r="X198" s="14">
        <f>IF(B198="","",IF(R198&lt;&gt;"","/",IF(S198&lt;&gt;"","OPOW",IF(T198&lt;&gt;"","DJS",IF(U198&lt;&gt;"","FCS",IF(V198&lt;&gt;"","RCS",IF(W198&lt;&gt;"","POLICE","")))))))</f>
        <v/>
      </c>
      <c r="Y198" s="12" t="n"/>
      <c r="Z198" s="15">
        <f>IF(Y198="","",Y198+30)</f>
        <v/>
      </c>
      <c r="AA198" s="13" t="n"/>
      <c r="AB198" s="13" t="n"/>
      <c r="AC198" s="13" t="n"/>
      <c r="AD198" s="13" t="n"/>
      <c r="AE198" s="14">
        <f>IF(B198="","",IF(AA198&lt;&gt;"","مدفوع",IF(AB198&lt;&gt;"","لم يدفع",IF(AC198&lt;&gt;"","تأمين فقط",IF(AD198&lt;&gt;"","اشتراك 300","")))))</f>
        <v/>
      </c>
      <c r="AF198" s="16">
        <f>IF(OR(AE198="لم يدفع",B198=""),"",IF(OR(AE198="تأمين فقط",X198="FCS",X198="RCS"),0,IF(OR(AE198="اشتراك 300",X198="POLICE",X198="OPOW",X198="DJS"),300,IF(H198&lt;14,1300,1500))))</f>
        <v/>
      </c>
      <c r="AG198" s="16">
        <f>IF(OR(AE198="لم يدفع",B198=""),"",500)</f>
        <v/>
      </c>
      <c r="AH198" s="16">
        <f>IF(OR(AE198="لم يدفع",AE198="تأمين فقط",AE198="اشتراك 300",X198="OPOW",X198="DJS",X198="FCS",X198="RCS",X198="POLICE",B198=""),"",1000)</f>
        <v/>
      </c>
      <c r="AI198" s="17">
        <f>IF(AE198="لم يدفع","",IF(AF198="","",AF198+AG198))</f>
        <v/>
      </c>
      <c r="AJ198" s="18">
        <f>IF(B198="","",IF(AE198="لم يدفع","🔒 مجمدة",IF(Z198="","",IF(Z198&lt;TODAY(),"⛔ منتهي - يتطلب تجديد",IF(Z198-5&lt;=TODAY(),"⚠️ قريب الانتهاء","✅ ساري")))))</f>
        <v/>
      </c>
      <c r="AK198" s="13" t="n"/>
      <c r="AL198" s="13" t="n"/>
      <c r="AM198" s="13" t="n"/>
      <c r="AN198" s="13" t="n"/>
      <c r="AO198" s="14">
        <f>IF(B198="","",IF(AK198&lt;&gt;"","الأحد والأربعاء",IF(AL198&lt;&gt;"","الاثنين والخميس",IF(AM198&lt;&gt;"","الثلاثاء والجمعة",IF(AN198&lt;&gt;"","كل الأيام","")))))</f>
        <v/>
      </c>
      <c r="AP198" s="13" t="n"/>
      <c r="AQ198" s="13" t="n"/>
      <c r="AR198" s="13" t="n"/>
      <c r="AS198" s="13" t="n"/>
      <c r="AT198" s="14">
        <f>IF(B198="","",IF(AP198&lt;&gt;"","09:00-10:00",IF(AQ198&lt;&gt;"","10:00-11:00",IF(AR198&lt;&gt;"","19:00-20:00",IF(AS198&lt;&gt;"","20:00-21:00","")))))</f>
        <v/>
      </c>
      <c r="AU198" s="19">
        <f>IF(B198="","",COUNTA(التجديد!E198:E198))</f>
        <v/>
      </c>
    </row>
    <row r="199" ht="22" customHeight="1">
      <c r="A199" s="10">
        <f>IF(B199="","","RCS "&amp;TEXT(ROW()-2,"000"))</f>
        <v/>
      </c>
      <c r="B199" s="11" t="n"/>
      <c r="C199" s="11" t="n"/>
      <c r="D199" s="12" t="n"/>
      <c r="E199" s="13" t="n"/>
      <c r="F199" s="13" t="n"/>
      <c r="G199" s="14">
        <f>IF(B199="","",IF(E199&lt;&gt;"","ذكر",IF(F199&lt;&gt;"","أنثى","")))</f>
        <v/>
      </c>
      <c r="H199" s="14">
        <f>IF(D199="","",DATEDIF(D199,TODAY(),"Y"))</f>
        <v/>
      </c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4">
        <f>IF(B199="","",IF(I199&lt;&gt;"","A+",IF(J199&lt;&gt;"","A-",IF(K199&lt;&gt;"","B+",IF(L199&lt;&gt;"","B-",IF(M199&lt;&gt;"","O+",IF(N199&lt;&gt;"","O-",IF(O199&lt;&gt;"","AB+",IF(P199&lt;&gt;"","AB-",""))))))))</f>
        <v/>
      </c>
      <c r="R199" s="13" t="n"/>
      <c r="S199" s="13" t="n"/>
      <c r="T199" s="13" t="n"/>
      <c r="U199" s="13" t="n"/>
      <c r="V199" s="13" t="n"/>
      <c r="W199" s="13" t="n"/>
      <c r="X199" s="14">
        <f>IF(B199="","",IF(R199&lt;&gt;"","/",IF(S199&lt;&gt;"","OPOW",IF(T199&lt;&gt;"","DJS",IF(U199&lt;&gt;"","FCS",IF(V199&lt;&gt;"","RCS",IF(W199&lt;&gt;"","POLICE","")))))))</f>
        <v/>
      </c>
      <c r="Y199" s="12" t="n"/>
      <c r="Z199" s="15">
        <f>IF(Y199="","",Y199+30)</f>
        <v/>
      </c>
      <c r="AA199" s="13" t="n"/>
      <c r="AB199" s="13" t="n"/>
      <c r="AC199" s="13" t="n"/>
      <c r="AD199" s="13" t="n"/>
      <c r="AE199" s="14">
        <f>IF(B199="","",IF(AA199&lt;&gt;"","مدفوع",IF(AB199&lt;&gt;"","لم يدفع",IF(AC199&lt;&gt;"","تأمين فقط",IF(AD199&lt;&gt;"","اشتراك 300","")))))</f>
        <v/>
      </c>
      <c r="AF199" s="16">
        <f>IF(OR(AE199="لم يدفع",B199=""),"",IF(OR(AE199="تأمين فقط",X199="FCS",X199="RCS"),0,IF(OR(AE199="اشتراك 300",X199="POLICE",X199="OPOW",X199="DJS"),300,IF(H199&lt;14,1300,1500))))</f>
        <v/>
      </c>
      <c r="AG199" s="16">
        <f>IF(OR(AE199="لم يدفع",B199=""),"",500)</f>
        <v/>
      </c>
      <c r="AH199" s="16">
        <f>IF(OR(AE199="لم يدفع",AE199="تأمين فقط",AE199="اشتراك 300",X199="OPOW",X199="DJS",X199="FCS",X199="RCS",X199="POLICE",B199=""),"",1000)</f>
        <v/>
      </c>
      <c r="AI199" s="17">
        <f>IF(AE199="لم يدفع","",IF(AF199="","",AF199+AG199))</f>
        <v/>
      </c>
      <c r="AJ199" s="18">
        <f>IF(B199="","",IF(AE199="لم يدفع","🔒 مجمدة",IF(Z199="","",IF(Z199&lt;TODAY(),"⛔ منتهي - يتطلب تجديد",IF(Z199-5&lt;=TODAY(),"⚠️ قريب الانتهاء","✅ ساري")))))</f>
        <v/>
      </c>
      <c r="AK199" s="13" t="n"/>
      <c r="AL199" s="13" t="n"/>
      <c r="AM199" s="13" t="n"/>
      <c r="AN199" s="13" t="n"/>
      <c r="AO199" s="14">
        <f>IF(B199="","",IF(AK199&lt;&gt;"","الأحد والأربعاء",IF(AL199&lt;&gt;"","الاثنين والخميس",IF(AM199&lt;&gt;"","الثلاثاء والجمعة",IF(AN199&lt;&gt;"","كل الأيام","")))))</f>
        <v/>
      </c>
      <c r="AP199" s="13" t="n"/>
      <c r="AQ199" s="13" t="n"/>
      <c r="AR199" s="13" t="n"/>
      <c r="AS199" s="13" t="n"/>
      <c r="AT199" s="14">
        <f>IF(B199="","",IF(AP199&lt;&gt;"","09:00-10:00",IF(AQ199&lt;&gt;"","10:00-11:00",IF(AR199&lt;&gt;"","19:00-20:00",IF(AS199&lt;&gt;"","20:00-21:00","")))))</f>
        <v/>
      </c>
      <c r="AU199" s="19">
        <f>IF(B199="","",COUNTA(التجديد!E199:E199))</f>
        <v/>
      </c>
    </row>
    <row r="200" ht="22" customHeight="1">
      <c r="A200" s="10">
        <f>IF(B200="","","RCS "&amp;TEXT(ROW()-2,"000"))</f>
        <v/>
      </c>
      <c r="B200" s="11" t="n"/>
      <c r="C200" s="11" t="n"/>
      <c r="D200" s="12" t="n"/>
      <c r="E200" s="13" t="n"/>
      <c r="F200" s="13" t="n"/>
      <c r="G200" s="14">
        <f>IF(B200="","",IF(E200&lt;&gt;"","ذكر",IF(F200&lt;&gt;"","أنثى","")))</f>
        <v/>
      </c>
      <c r="H200" s="14">
        <f>IF(D200="","",DATEDIF(D200,TODAY(),"Y"))</f>
        <v/>
      </c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4">
        <f>IF(B200="","",IF(I200&lt;&gt;"","A+",IF(J200&lt;&gt;"","A-",IF(K200&lt;&gt;"","B+",IF(L200&lt;&gt;"","B-",IF(M200&lt;&gt;"","O+",IF(N200&lt;&gt;"","O-",IF(O200&lt;&gt;"","AB+",IF(P200&lt;&gt;"","AB-",""))))))))</f>
        <v/>
      </c>
      <c r="R200" s="13" t="n"/>
      <c r="S200" s="13" t="n"/>
      <c r="T200" s="13" t="n"/>
      <c r="U200" s="13" t="n"/>
      <c r="V200" s="13" t="n"/>
      <c r="W200" s="13" t="n"/>
      <c r="X200" s="14">
        <f>IF(B200="","",IF(R200&lt;&gt;"","/",IF(S200&lt;&gt;"","OPOW",IF(T200&lt;&gt;"","DJS",IF(U200&lt;&gt;"","FCS",IF(V200&lt;&gt;"","RCS",IF(W200&lt;&gt;"","POLICE","")))))))</f>
        <v/>
      </c>
      <c r="Y200" s="12" t="n"/>
      <c r="Z200" s="15">
        <f>IF(Y200="","",Y200+30)</f>
        <v/>
      </c>
      <c r="AA200" s="13" t="n"/>
      <c r="AB200" s="13" t="n"/>
      <c r="AC200" s="13" t="n"/>
      <c r="AD200" s="13" t="n"/>
      <c r="AE200" s="14">
        <f>IF(B200="","",IF(AA200&lt;&gt;"","مدفوع",IF(AB200&lt;&gt;"","لم يدفع",IF(AC200&lt;&gt;"","تأمين فقط",IF(AD200&lt;&gt;"","اشتراك 300","")))))</f>
        <v/>
      </c>
      <c r="AF200" s="16">
        <f>IF(OR(AE200="لم يدفع",B200=""),"",IF(OR(AE200="تأمين فقط",X200="FCS",X200="RCS"),0,IF(OR(AE200="اشتراك 300",X200="POLICE",X200="OPOW",X200="DJS"),300,IF(H200&lt;14,1300,1500))))</f>
        <v/>
      </c>
      <c r="AG200" s="16">
        <f>IF(OR(AE200="لم يدفع",B200=""),"",500)</f>
        <v/>
      </c>
      <c r="AH200" s="16">
        <f>IF(OR(AE200="لم يدفع",AE200="تأمين فقط",AE200="اشتراك 300",X200="OPOW",X200="DJS",X200="FCS",X200="RCS",X200="POLICE",B200=""),"",1000)</f>
        <v/>
      </c>
      <c r="AI200" s="17">
        <f>IF(AE200="لم يدفع","",IF(AF200="","",AF200+AG200))</f>
        <v/>
      </c>
      <c r="AJ200" s="18">
        <f>IF(B200="","",IF(AE200="لم يدفع","🔒 مجمدة",IF(Z200="","",IF(Z200&lt;TODAY(),"⛔ منتهي - يتطلب تجديد",IF(Z200-5&lt;=TODAY(),"⚠️ قريب الانتهاء","✅ ساري")))))</f>
        <v/>
      </c>
      <c r="AK200" s="13" t="n"/>
      <c r="AL200" s="13" t="n"/>
      <c r="AM200" s="13" t="n"/>
      <c r="AN200" s="13" t="n"/>
      <c r="AO200" s="14">
        <f>IF(B200="","",IF(AK200&lt;&gt;"","الأحد والأربعاء",IF(AL200&lt;&gt;"","الاثنين والخميس",IF(AM200&lt;&gt;"","الثلاثاء والجمعة",IF(AN200&lt;&gt;"","كل الأيام","")))))</f>
        <v/>
      </c>
      <c r="AP200" s="13" t="n"/>
      <c r="AQ200" s="13" t="n"/>
      <c r="AR200" s="13" t="n"/>
      <c r="AS200" s="13" t="n"/>
      <c r="AT200" s="14">
        <f>IF(B200="","",IF(AP200&lt;&gt;"","09:00-10:00",IF(AQ200&lt;&gt;"","10:00-11:00",IF(AR200&lt;&gt;"","19:00-20:00",IF(AS200&lt;&gt;"","20:00-21:00","")))))</f>
        <v/>
      </c>
      <c r="AU200" s="19">
        <f>IF(B200="","",COUNTA(التجديد!E200:E200))</f>
        <v/>
      </c>
    </row>
    <row r="201" ht="22" customHeight="1">
      <c r="A201" s="10">
        <f>IF(B201="","","RCS "&amp;TEXT(ROW()-2,"000"))</f>
        <v/>
      </c>
      <c r="B201" s="11" t="n"/>
      <c r="C201" s="11" t="n"/>
      <c r="D201" s="12" t="n"/>
      <c r="E201" s="13" t="n"/>
      <c r="F201" s="13" t="n"/>
      <c r="G201" s="14">
        <f>IF(B201="","",IF(E201&lt;&gt;"","ذكر",IF(F201&lt;&gt;"","أنثى","")))</f>
        <v/>
      </c>
      <c r="H201" s="14">
        <f>IF(D201="","",DATEDIF(D201,TODAY(),"Y"))</f>
        <v/>
      </c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4">
        <f>IF(B201="","",IF(I201&lt;&gt;"","A+",IF(J201&lt;&gt;"","A-",IF(K201&lt;&gt;"","B+",IF(L201&lt;&gt;"","B-",IF(M201&lt;&gt;"","O+",IF(N201&lt;&gt;"","O-",IF(O201&lt;&gt;"","AB+",IF(P201&lt;&gt;"","AB-",""))))))))</f>
        <v/>
      </c>
      <c r="R201" s="13" t="n"/>
      <c r="S201" s="13" t="n"/>
      <c r="T201" s="13" t="n"/>
      <c r="U201" s="13" t="n"/>
      <c r="V201" s="13" t="n"/>
      <c r="W201" s="13" t="n"/>
      <c r="X201" s="14">
        <f>IF(B201="","",IF(R201&lt;&gt;"","/",IF(S201&lt;&gt;"","OPOW",IF(T201&lt;&gt;"","DJS",IF(U201&lt;&gt;"","FCS",IF(V201&lt;&gt;"","RCS",IF(W201&lt;&gt;"","POLICE","")))))))</f>
        <v/>
      </c>
      <c r="Y201" s="12" t="n"/>
      <c r="Z201" s="15">
        <f>IF(Y201="","",Y201+30)</f>
        <v/>
      </c>
      <c r="AA201" s="13" t="n"/>
      <c r="AB201" s="13" t="n"/>
      <c r="AC201" s="13" t="n"/>
      <c r="AD201" s="13" t="n"/>
      <c r="AE201" s="14">
        <f>IF(B201="","",IF(AA201&lt;&gt;"","مدفوع",IF(AB201&lt;&gt;"","لم يدفع",IF(AC201&lt;&gt;"","تأمين فقط",IF(AD201&lt;&gt;"","اشتراك 300","")))))</f>
        <v/>
      </c>
      <c r="AF201" s="16">
        <f>IF(OR(AE201="لم يدفع",B201=""),"",IF(OR(AE201="تأمين فقط",X201="FCS",X201="RCS"),0,IF(OR(AE201="اشتراك 300",X201="POLICE",X201="OPOW",X201="DJS"),300,IF(H201&lt;14,1300,1500))))</f>
        <v/>
      </c>
      <c r="AG201" s="16">
        <f>IF(OR(AE201="لم يدفع",B201=""),"",500)</f>
        <v/>
      </c>
      <c r="AH201" s="16">
        <f>IF(OR(AE201="لم يدفع",AE201="تأمين فقط",AE201="اشتراك 300",X201="OPOW",X201="DJS",X201="FCS",X201="RCS",X201="POLICE",B201=""),"",1000)</f>
        <v/>
      </c>
      <c r="AI201" s="17">
        <f>IF(AE201="لم يدفع","",IF(AF201="","",AF201+AG201))</f>
        <v/>
      </c>
      <c r="AJ201" s="18">
        <f>IF(B201="","",IF(AE201="لم يدفع","🔒 مجمدة",IF(Z201="","",IF(Z201&lt;TODAY(),"⛔ منتهي - يتطلب تجديد",IF(Z201-5&lt;=TODAY(),"⚠️ قريب الانتهاء","✅ ساري")))))</f>
        <v/>
      </c>
      <c r="AK201" s="13" t="n"/>
      <c r="AL201" s="13" t="n"/>
      <c r="AM201" s="13" t="n"/>
      <c r="AN201" s="13" t="n"/>
      <c r="AO201" s="14">
        <f>IF(B201="","",IF(AK201&lt;&gt;"","الأحد والأربعاء",IF(AL201&lt;&gt;"","الاثنين والخميس",IF(AM201&lt;&gt;"","الثلاثاء والجمعة",IF(AN201&lt;&gt;"","كل الأيام","")))))</f>
        <v/>
      </c>
      <c r="AP201" s="13" t="n"/>
      <c r="AQ201" s="13" t="n"/>
      <c r="AR201" s="13" t="n"/>
      <c r="AS201" s="13" t="n"/>
      <c r="AT201" s="14">
        <f>IF(B201="","",IF(AP201&lt;&gt;"","09:00-10:00",IF(AQ201&lt;&gt;"","10:00-11:00",IF(AR201&lt;&gt;"","19:00-20:00",IF(AS201&lt;&gt;"","20:00-21:00","")))))</f>
        <v/>
      </c>
      <c r="AU201" s="19">
        <f>IF(B201="","",COUNTA(التجديد!E201:E201))</f>
        <v/>
      </c>
    </row>
    <row r="202" ht="22" customHeight="1">
      <c r="A202" s="10">
        <f>IF(B202="","","RCS "&amp;TEXT(ROW()-2,"000"))</f>
        <v/>
      </c>
      <c r="B202" s="11" t="n"/>
      <c r="C202" s="11" t="n"/>
      <c r="D202" s="12" t="n"/>
      <c r="E202" s="13" t="n"/>
      <c r="F202" s="13" t="n"/>
      <c r="G202" s="14">
        <f>IF(B202="","",IF(E202&lt;&gt;"","ذكر",IF(F202&lt;&gt;"","أنثى","")))</f>
        <v/>
      </c>
      <c r="H202" s="14">
        <f>IF(D202="","",DATEDIF(D202,TODAY(),"Y"))</f>
        <v/>
      </c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4">
        <f>IF(B202="","",IF(I202&lt;&gt;"","A+",IF(J202&lt;&gt;"","A-",IF(K202&lt;&gt;"","B+",IF(L202&lt;&gt;"","B-",IF(M202&lt;&gt;"","O+",IF(N202&lt;&gt;"","O-",IF(O202&lt;&gt;"","AB+",IF(P202&lt;&gt;"","AB-",""))))))))</f>
        <v/>
      </c>
      <c r="R202" s="13" t="n"/>
      <c r="S202" s="13" t="n"/>
      <c r="T202" s="13" t="n"/>
      <c r="U202" s="13" t="n"/>
      <c r="V202" s="13" t="n"/>
      <c r="W202" s="13" t="n"/>
      <c r="X202" s="14">
        <f>IF(B202="","",IF(R202&lt;&gt;"","/",IF(S202&lt;&gt;"","OPOW",IF(T202&lt;&gt;"","DJS",IF(U202&lt;&gt;"","FCS",IF(V202&lt;&gt;"","RCS",IF(W202&lt;&gt;"","POLICE","")))))))</f>
        <v/>
      </c>
      <c r="Y202" s="12" t="n"/>
      <c r="Z202" s="15">
        <f>IF(Y202="","",Y202+30)</f>
        <v/>
      </c>
      <c r="AA202" s="13" t="n"/>
      <c r="AB202" s="13" t="n"/>
      <c r="AC202" s="13" t="n"/>
      <c r="AD202" s="13" t="n"/>
      <c r="AE202" s="14">
        <f>IF(B202="","",IF(AA202&lt;&gt;"","مدفوع",IF(AB202&lt;&gt;"","لم يدفع",IF(AC202&lt;&gt;"","تأمين فقط",IF(AD202&lt;&gt;"","اشتراك 300","")))))</f>
        <v/>
      </c>
      <c r="AF202" s="16">
        <f>IF(OR(AE202="لم يدفع",B202=""),"",IF(OR(AE202="تأمين فقط",X202="FCS",X202="RCS"),0,IF(OR(AE202="اشتراك 300",X202="POLICE",X202="OPOW",X202="DJS"),300,IF(H202&lt;14,1300,1500))))</f>
        <v/>
      </c>
      <c r="AG202" s="16">
        <f>IF(OR(AE202="لم يدفع",B202=""),"",500)</f>
        <v/>
      </c>
      <c r="AH202" s="16">
        <f>IF(OR(AE202="لم يدفع",AE202="تأمين فقط",AE202="اشتراك 300",X202="OPOW",X202="DJS",X202="FCS",X202="RCS",X202="POLICE",B202=""),"",1000)</f>
        <v/>
      </c>
      <c r="AI202" s="17">
        <f>IF(AE202="لم يدفع","",IF(AF202="","",AF202+AG202))</f>
        <v/>
      </c>
      <c r="AJ202" s="18">
        <f>IF(B202="","",IF(AE202="لم يدفع","🔒 مجمدة",IF(Z202="","",IF(Z202&lt;TODAY(),"⛔ منتهي - يتطلب تجديد",IF(Z202-5&lt;=TODAY(),"⚠️ قريب الانتهاء","✅ ساري")))))</f>
        <v/>
      </c>
      <c r="AK202" s="13" t="n"/>
      <c r="AL202" s="13" t="n"/>
      <c r="AM202" s="13" t="n"/>
      <c r="AN202" s="13" t="n"/>
      <c r="AO202" s="14">
        <f>IF(B202="","",IF(AK202&lt;&gt;"","الأحد والأربعاء",IF(AL202&lt;&gt;"","الاثنين والخميس",IF(AM202&lt;&gt;"","الثلاثاء والجمعة",IF(AN202&lt;&gt;"","كل الأيام","")))))</f>
        <v/>
      </c>
      <c r="AP202" s="13" t="n"/>
      <c r="AQ202" s="13" t="n"/>
      <c r="AR202" s="13" t="n"/>
      <c r="AS202" s="13" t="n"/>
      <c r="AT202" s="14">
        <f>IF(B202="","",IF(AP202&lt;&gt;"","09:00-10:00",IF(AQ202&lt;&gt;"","10:00-11:00",IF(AR202&lt;&gt;"","19:00-20:00",IF(AS202&lt;&gt;"","20:00-21:00","")))))</f>
        <v/>
      </c>
      <c r="AU202" s="19">
        <f>IF(B202="","",COUNTA(التجديد!E202:E202))</f>
        <v/>
      </c>
    </row>
  </sheetData>
  <mergeCells count="1">
    <mergeCell ref="A1:AU1"/>
  </mergeCells>
  <conditionalFormatting sqref="E3:E202">
    <cfRule type="cellIs" priority="1" operator="notEqual" dxfId="0">
      <formula>""</formula>
    </cfRule>
  </conditionalFormatting>
  <conditionalFormatting sqref="F3:F202">
    <cfRule type="cellIs" priority="2" operator="notEqual" dxfId="0">
      <formula>""</formula>
    </cfRule>
  </conditionalFormatting>
  <conditionalFormatting sqref="I3:I202">
    <cfRule type="cellIs" priority="3" operator="notEqual" dxfId="0">
      <formula>""</formula>
    </cfRule>
  </conditionalFormatting>
  <conditionalFormatting sqref="J3:J202">
    <cfRule type="cellIs" priority="4" operator="notEqual" dxfId="0">
      <formula>""</formula>
    </cfRule>
  </conditionalFormatting>
  <conditionalFormatting sqref="K3:K202">
    <cfRule type="cellIs" priority="5" operator="notEqual" dxfId="0">
      <formula>""</formula>
    </cfRule>
  </conditionalFormatting>
  <conditionalFormatting sqref="L3:L202">
    <cfRule type="cellIs" priority="6" operator="notEqual" dxfId="0">
      <formula>""</formula>
    </cfRule>
  </conditionalFormatting>
  <conditionalFormatting sqref="M3:M202">
    <cfRule type="cellIs" priority="7" operator="notEqual" dxfId="0">
      <formula>""</formula>
    </cfRule>
  </conditionalFormatting>
  <conditionalFormatting sqref="N3:N202">
    <cfRule type="cellIs" priority="8" operator="notEqual" dxfId="0">
      <formula>""</formula>
    </cfRule>
  </conditionalFormatting>
  <conditionalFormatting sqref="O3:O202">
    <cfRule type="cellIs" priority="9" operator="notEqual" dxfId="0">
      <formula>""</formula>
    </cfRule>
  </conditionalFormatting>
  <conditionalFormatting sqref="P3:P202">
    <cfRule type="cellIs" priority="10" operator="notEqual" dxfId="0">
      <formula>""</formula>
    </cfRule>
  </conditionalFormatting>
  <conditionalFormatting sqref="R3:R202">
    <cfRule type="cellIs" priority="11" operator="notEqual" dxfId="0">
      <formula>""</formula>
    </cfRule>
  </conditionalFormatting>
  <conditionalFormatting sqref="S3:S202">
    <cfRule type="cellIs" priority="12" operator="notEqual" dxfId="0">
      <formula>""</formula>
    </cfRule>
  </conditionalFormatting>
  <conditionalFormatting sqref="T3:T202">
    <cfRule type="cellIs" priority="13" operator="notEqual" dxfId="0">
      <formula>""</formula>
    </cfRule>
  </conditionalFormatting>
  <conditionalFormatting sqref="U3:U202">
    <cfRule type="cellIs" priority="14" operator="notEqual" dxfId="0">
      <formula>""</formula>
    </cfRule>
  </conditionalFormatting>
  <conditionalFormatting sqref="V3:V202">
    <cfRule type="cellIs" priority="15" operator="notEqual" dxfId="0">
      <formula>""</formula>
    </cfRule>
  </conditionalFormatting>
  <conditionalFormatting sqref="W3:W202">
    <cfRule type="cellIs" priority="16" operator="notEqual" dxfId="0">
      <formula>""</formula>
    </cfRule>
  </conditionalFormatting>
  <conditionalFormatting sqref="AA3:AA202">
    <cfRule type="cellIs" priority="17" operator="notEqual" dxfId="0">
      <formula>""</formula>
    </cfRule>
  </conditionalFormatting>
  <conditionalFormatting sqref="AB3:AB202">
    <cfRule type="cellIs" priority="18" operator="notEqual" dxfId="0">
      <formula>""</formula>
    </cfRule>
  </conditionalFormatting>
  <conditionalFormatting sqref="AC3:AC202">
    <cfRule type="cellIs" priority="19" operator="notEqual" dxfId="0">
      <formula>""</formula>
    </cfRule>
  </conditionalFormatting>
  <conditionalFormatting sqref="AD3:AD202">
    <cfRule type="cellIs" priority="20" operator="notEqual" dxfId="0">
      <formula>""</formula>
    </cfRule>
  </conditionalFormatting>
  <conditionalFormatting sqref="AK3:AK202">
    <cfRule type="cellIs" priority="21" operator="notEqual" dxfId="0">
      <formula>""</formula>
    </cfRule>
  </conditionalFormatting>
  <conditionalFormatting sqref="AL3:AL202">
    <cfRule type="cellIs" priority="22" operator="notEqual" dxfId="0">
      <formula>""</formula>
    </cfRule>
  </conditionalFormatting>
  <conditionalFormatting sqref="AM3:AM202">
    <cfRule type="cellIs" priority="23" operator="notEqual" dxfId="0">
      <formula>""</formula>
    </cfRule>
  </conditionalFormatting>
  <conditionalFormatting sqref="AN3:AN202">
    <cfRule type="cellIs" priority="24" operator="notEqual" dxfId="0">
      <formula>""</formula>
    </cfRule>
  </conditionalFormatting>
  <conditionalFormatting sqref="AP3:AP202">
    <cfRule type="cellIs" priority="25" operator="notEqual" dxfId="0">
      <formula>""</formula>
    </cfRule>
  </conditionalFormatting>
  <conditionalFormatting sqref="AQ3:AQ202">
    <cfRule type="cellIs" priority="26" operator="notEqual" dxfId="0">
      <formula>""</formula>
    </cfRule>
  </conditionalFormatting>
  <conditionalFormatting sqref="AR3:AR202">
    <cfRule type="cellIs" priority="27" operator="notEqual" dxfId="0">
      <formula>""</formula>
    </cfRule>
  </conditionalFormatting>
  <conditionalFormatting sqref="AS3:AS202">
    <cfRule type="cellIs" priority="28" operator="notEqual" dxfId="0">
      <formula>""</formula>
    </cfRule>
  </conditionalFormatting>
  <dataValidations count="1">
    <dataValidation sqref="E3:E202 F3:F202 I3:I202 J3:J202 K3:K202 L3:L202 M3:M202 N3:N202 O3:O202 P3:P202 R3:R202 S3:S202 T3:T202 U3:U202 V3:V202 W3:W202 AA3:AA202 AB3:AB202 AC3:AC202 AD3:AD202 AK3:AK202 AL3:AL202 AM3:AM202 AN3:AN202 AP3:AP202 AQ3:AQ202 AR3:AR202 AS3:AS202" showDropDown="0" showInputMessage="1" showErrorMessage="1" allowBlank="1" errorTitle="علامة غير صالحة" error="ضع X أو • فقط" promptTitle="خانة اختيار" prompt="ضع علامة X أو • في الخانة المختارة" type="list">
      <formula1>"X,x,✓,•"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showGridLines="0" rightToLeft="1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8" customWidth="1" min="3" max="3"/>
    <col width="2" customWidth="1" min="4" max="4"/>
    <col width="22" customWidth="1" min="5" max="5"/>
    <col width="12" customWidth="1" min="6" max="6"/>
    <col width="2" customWidth="1" min="7" max="7"/>
    <col width="18" customWidth="1" min="8" max="8"/>
    <col width="10" customWidth="1" min="9" max="9"/>
    <col width="2" customWidth="1" min="10" max="10"/>
    <col width="22" customWidth="1" min="11" max="11"/>
    <col width="18" customWidth="1" min="12" max="12"/>
  </cols>
  <sheetData>
    <row r="1" ht="43.5" customHeight="1">
      <c r="A1" s="20" t="inlineStr">
        <is>
          <t>📊   لوحة التحكم  —  إحصائيات الاشتراكات  —  نادي RCS</t>
        </is>
      </c>
    </row>
    <row r="3">
      <c r="B3" s="21" t="inlineStr">
        <is>
          <t>💰  الإحصائيات المالية</t>
        </is>
      </c>
      <c r="E3" s="22" t="inlineStr">
        <is>
          <t>👥  إحصائيات المنخرطين</t>
        </is>
      </c>
      <c r="H3" s="23" t="inlineStr">
        <is>
          <t>📋  فئات الاشتراك</t>
        </is>
      </c>
      <c r="K3" s="24" t="inlineStr">
        <is>
          <t>🔄  حالة التجديد</t>
        </is>
      </c>
    </row>
    <row r="4">
      <c r="B4" s="25" t="inlineStr">
        <is>
          <t>إجمالي رسوم الاشتراك</t>
        </is>
      </c>
      <c r="C4" s="26">
        <f>SUMIFS(بيانات!AF3:AF202,بيانات!AE3:AE202,"&lt;&gt;لم يدفع",بيانات!B3:B202,"&lt;&gt;")</f>
        <v/>
      </c>
      <c r="E4" s="25" t="inlineStr">
        <is>
          <t>إجمالي المنخرطين</t>
        </is>
      </c>
      <c r="F4" s="27">
        <f>COUNTA(بيانات!B3:B202)</f>
        <v/>
      </c>
      <c r="H4" s="25" t="inlineStr">
        <is>
          <t>اشتراك عادي (/)</t>
        </is>
      </c>
      <c r="I4" s="27">
        <f>COUNTIF(بيانات!X3:X202,"/")</f>
        <v/>
      </c>
      <c r="K4" s="25" t="inlineStr">
        <is>
          <t>✅ سارية</t>
        </is>
      </c>
      <c r="L4" s="27">
        <f>COUNTIF(بيانات!AJ3:AJ202,"*ساري*")</f>
        <v/>
      </c>
    </row>
    <row r="5">
      <c r="B5" s="25" t="inlineStr">
        <is>
          <t>إجمالي مصاريف التأمين</t>
        </is>
      </c>
      <c r="C5" s="26">
        <f>SUMIFS(بيانات!AG3:AG202,بيانات!AE3:AE202,"&lt;&gt;لم يدفع",بيانات!B3:B202,"&lt;&gt;")</f>
        <v/>
      </c>
      <c r="E5" s="25" t="inlineStr">
        <is>
          <t>✅ مدفوع</t>
        </is>
      </c>
      <c r="F5" s="27">
        <f>COUNTIF(بيانات!AE3:AE202,"مدفوع")</f>
        <v/>
      </c>
      <c r="H5" s="25" t="inlineStr">
        <is>
          <t>OPOW</t>
        </is>
      </c>
      <c r="I5" s="27">
        <f>COUNTIF(بيانات!X3:X202,"OPOW")</f>
        <v/>
      </c>
      <c r="K5" s="25" t="inlineStr">
        <is>
          <t>⚠️ قريبة الانتهاء</t>
        </is>
      </c>
      <c r="L5" s="27">
        <f>COUNTIF(بيانات!AJ3:AJ202,"*قريب*")</f>
        <v/>
      </c>
    </row>
    <row r="6">
      <c r="B6" s="25" t="inlineStr">
        <is>
          <t>حقوق المركب (مستثناة)</t>
        </is>
      </c>
      <c r="C6" s="26">
        <f>SUMIFS(بيانات!AH3:AH202,بيانات!AE3:AE202,"&lt;&gt;لم يدفع",بيانات!B3:B202,"&lt;&gt;")</f>
        <v/>
      </c>
      <c r="E6" s="25" t="inlineStr">
        <is>
          <t>❌ لم يدفع</t>
        </is>
      </c>
      <c r="F6" s="27">
        <f>COUNTIF(بيانات!AE3:AE202,"لم يدفع")</f>
        <v/>
      </c>
      <c r="H6" s="25" t="inlineStr">
        <is>
          <t>DJS</t>
        </is>
      </c>
      <c r="I6" s="27">
        <f>COUNTIF(بيانات!X3:X202,"DJS")</f>
        <v/>
      </c>
      <c r="K6" s="25" t="inlineStr">
        <is>
          <t>⛔ منتهية</t>
        </is>
      </c>
      <c r="L6" s="27">
        <f>COUNTIF(بيانات!AJ3:AJ202,"*منتهي*")</f>
        <v/>
      </c>
    </row>
    <row r="7">
      <c r="B7" s="25" t="inlineStr">
        <is>
          <t>الإيرادات (رسوم + تأمين)</t>
        </is>
      </c>
      <c r="C7" s="26">
        <f>C4+C5</f>
        <v/>
      </c>
      <c r="E7" s="25" t="inlineStr">
        <is>
          <t>🔵 تأمين فقط</t>
        </is>
      </c>
      <c r="F7" s="27">
        <f>COUNTIF(بيانات!AE3:AE202,"تأمين فقط")</f>
        <v/>
      </c>
      <c r="H7" s="25" t="inlineStr">
        <is>
          <t>FCS</t>
        </is>
      </c>
      <c r="I7" s="27">
        <f>COUNTIF(بيانات!X3:X202,"FCS")</f>
        <v/>
      </c>
      <c r="K7" s="25" t="inlineStr">
        <is>
          <t>🔒 مجمدة</t>
        </is>
      </c>
      <c r="L7" s="27">
        <f>COUNTIF(بيانات!AJ3:AJ202,"*مجمدة*")</f>
        <v/>
      </c>
    </row>
    <row r="8">
      <c r="B8" s="25" t="inlineStr">
        <is>
          <t>اشتراكات عادية (1300)</t>
        </is>
      </c>
      <c r="C8" s="26">
        <f>SUMIFS(بيانات!AI3:AI202,بيانات!AF3:AF202,1300,بيانات!AE3:AE202,"&lt;&gt;لم يدفع")</f>
        <v/>
      </c>
      <c r="E8" s="25" t="inlineStr">
        <is>
          <t>🟠 اشتراك 300</t>
        </is>
      </c>
      <c r="F8" s="27">
        <f>COUNTIF(بيانات!AE3:AE202,"اشتراك 300")</f>
        <v/>
      </c>
      <c r="H8" s="25" t="inlineStr">
        <is>
          <t>RCS</t>
        </is>
      </c>
      <c r="I8" s="27">
        <f>COUNTIF(بيانات!X3:X202,"RCS")</f>
        <v/>
      </c>
    </row>
    <row r="9">
      <c r="B9" s="25" t="inlineStr">
        <is>
          <t>اشتراكات عادية (1500)</t>
        </is>
      </c>
      <c r="C9" s="26">
        <f>SUMIFS(بيانات!AI3:AI202,بيانات!AF3:AF202,1500,بيانات!AE3:AE202,"&lt;&gt;لم يدفع")</f>
        <v/>
      </c>
      <c r="E9" s="25" t="inlineStr">
        <is>
          <t>كبار (14+)</t>
        </is>
      </c>
      <c r="F9" s="27">
        <f>COUNTIFS(بيانات!H3:H202,"&gt;=14",بيانات!B3:B202,"&lt;&gt;")</f>
        <v/>
      </c>
      <c r="H9" s="25" t="inlineStr">
        <is>
          <t>POLICE</t>
        </is>
      </c>
      <c r="I9" s="27">
        <f>COUNTIF(بيانات!X3:X202,"POLICE")</f>
        <v/>
      </c>
    </row>
    <row r="10">
      <c r="B10" s="25" t="inlineStr">
        <is>
          <t>إيرادات OPOW/DJS</t>
        </is>
      </c>
      <c r="C10" s="26">
        <f>SUMIFS(بيانات!AI3:AI202,بيانات!X3:X202,"OPOW",بيانات!AE3:AE202,"&lt;&gt;لم يدفع")+SUMIFS(بيانات!AI3:AI202,بيانات!X3:X202,"DJS",بيانات!AE3:AE202,"&lt;&gt;لم يدفع")</f>
        <v/>
      </c>
      <c r="E10" s="25" t="inlineStr">
        <is>
          <t>صغار (أقل من 14)</t>
        </is>
      </c>
      <c r="F10" s="27">
        <f>COUNTIFS(بيانات!H3:H202,"&lt;14",بيانات!H3:H202,"&lt;&gt;",بيانات!B3:B202,"&lt;&gt;")</f>
        <v/>
      </c>
    </row>
    <row r="11">
      <c r="B11" s="25" t="inlineStr">
        <is>
          <t>متوسط الدفعة</t>
        </is>
      </c>
      <c r="C11" s="26">
        <f>IFERROR(AVERAGEIFS(بيانات!AI3:AI202,بيانات!AE3:AE202,"&lt;&gt;لم يدفع",بيانات!B3:B202,"&lt;&gt;"),0)</f>
        <v/>
      </c>
      <c r="E11" s="25" t="inlineStr">
        <is>
          <t>ذكور</t>
        </is>
      </c>
      <c r="F11" s="27">
        <f>COUNTIF(بيانات!G3:G202,"ذكر")</f>
        <v/>
      </c>
    </row>
    <row r="12">
      <c r="E12" s="25" t="inlineStr">
        <is>
          <t>إناث</t>
        </is>
      </c>
      <c r="F12" s="27">
        <f>COUNTIF(بيانات!G3:G202,"أنثى")</f>
        <v/>
      </c>
    </row>
    <row r="13"/>
    <row r="14"/>
    <row r="15">
      <c r="B15" s="25" t="inlineStr">
        <is>
          <t>🕐  أفواج التوقيت</t>
        </is>
      </c>
      <c r="E15" s="25" t="inlineStr">
        <is>
          <t>🏊  أيام السباحة</t>
        </is>
      </c>
      <c r="H15" s="25" t="inlineStr">
        <is>
          <t>🩸  فصائل الدم</t>
        </is>
      </c>
      <c r="K15" s="25" t="inlineStr">
        <is>
          <t>💳  ملخص مالي تفصيلي</t>
        </is>
      </c>
    </row>
    <row r="16">
      <c r="B16" s="25" t="inlineStr">
        <is>
          <t>09:00-10:00</t>
        </is>
      </c>
      <c r="C16" s="28">
        <f>COUNTIF(بيانات!AT3:AT202,"09:00-10:00")</f>
        <v/>
      </c>
      <c r="E16" s="25" t="inlineStr">
        <is>
          <t>الأحد والأربعاء</t>
        </is>
      </c>
      <c r="F16" s="27">
        <f>COUNTIF(بيانات!AO3:AO202,"الأحد والأربعاء")</f>
        <v/>
      </c>
      <c r="H16" s="25" t="inlineStr">
        <is>
          <t>A+</t>
        </is>
      </c>
      <c r="I16" s="27">
        <f>COUNTIF(بيانات!Q3:Q202,"A+")</f>
        <v/>
      </c>
      <c r="K16" s="25" t="inlineStr">
        <is>
          <t>رسوم 300 دج × عدد</t>
        </is>
      </c>
      <c r="L16" s="27">
        <f>COUNTIF(بيانات!AF3:AF202,300)&amp;" منخرط"</f>
        <v/>
      </c>
    </row>
    <row r="17">
      <c r="B17" s="25" t="inlineStr">
        <is>
          <t>10:00-11:00</t>
        </is>
      </c>
      <c r="C17" s="26">
        <f>COUNTIF(بيانات!AT3:AT202,"10:00-11:00")</f>
        <v/>
      </c>
      <c r="E17" s="25" t="inlineStr">
        <is>
          <t>الاثنين والخميس</t>
        </is>
      </c>
      <c r="F17" s="27">
        <f>COUNTIF(بيانات!AO3:AO202,"الاثنين والخميس")</f>
        <v/>
      </c>
      <c r="H17" s="25" t="inlineStr">
        <is>
          <t>A-</t>
        </is>
      </c>
      <c r="I17" s="27">
        <f>COUNTIF(بيانات!Q3:Q202,"A-")</f>
        <v/>
      </c>
      <c r="K17" s="25" t="inlineStr">
        <is>
          <t>مجموع رسوم 300</t>
        </is>
      </c>
      <c r="L17" s="27">
        <f>SUMIF(بيانات!AF3:AF202,300,بيانات!AF3:AF202)</f>
        <v/>
      </c>
    </row>
    <row r="18">
      <c r="B18" s="25" t="inlineStr">
        <is>
          <t>19:00-20:00</t>
        </is>
      </c>
      <c r="C18" s="28">
        <f>COUNTIF(بيانات!AT3:AT202,"19:00-20:00")</f>
        <v/>
      </c>
      <c r="E18" s="25" t="inlineStr">
        <is>
          <t>الثلاثاء والجمعة</t>
        </is>
      </c>
      <c r="F18" s="27">
        <f>COUNTIF(بيانات!AO3:AO202,"الثلاثاء والجمعة")</f>
        <v/>
      </c>
      <c r="H18" s="25" t="inlineStr">
        <is>
          <t>B+</t>
        </is>
      </c>
      <c r="I18" s="27">
        <f>COUNTIF(بيانات!Q3:Q202,"B+")</f>
        <v/>
      </c>
      <c r="K18" s="25" t="inlineStr">
        <is>
          <t>رسوم 1300 دج × عدد</t>
        </is>
      </c>
      <c r="L18" s="27">
        <f>COUNTIF(بيانات!AF3:AF202,1300)&amp;" منخرط"</f>
        <v/>
      </c>
    </row>
    <row r="19">
      <c r="B19" s="25" t="inlineStr">
        <is>
          <t>20:00-21:00</t>
        </is>
      </c>
      <c r="C19" s="26">
        <f>COUNTIF(بيانات!AT3:AT202,"20:00-21:00")</f>
        <v/>
      </c>
      <c r="E19" s="25" t="inlineStr">
        <is>
          <t>كل الأيام</t>
        </is>
      </c>
      <c r="F19" s="27">
        <f>COUNTIF(بيانات!AO3:AO202,"كل الأيام")</f>
        <v/>
      </c>
      <c r="H19" s="25" t="inlineStr">
        <is>
          <t>B-</t>
        </is>
      </c>
      <c r="I19" s="27">
        <f>COUNTIF(بيانات!Q3:Q202,"B-")</f>
        <v/>
      </c>
      <c r="K19" s="25" t="inlineStr">
        <is>
          <t>مجموع رسوم 1300</t>
        </is>
      </c>
      <c r="L19" s="27">
        <f>SUMIF(بيانات!AF3:AF202,1300,بيانات!AF3:AF202)</f>
        <v/>
      </c>
    </row>
    <row r="20">
      <c r="H20" s="25" t="inlineStr">
        <is>
          <t>O+</t>
        </is>
      </c>
      <c r="I20" s="27">
        <f>COUNTIF(بيانات!Q3:Q202,"O+")</f>
        <v/>
      </c>
      <c r="K20" s="25" t="inlineStr">
        <is>
          <t>رسوم 1500 دج × عدد</t>
        </is>
      </c>
      <c r="L20" s="27">
        <f>COUNTIF(بيانات!AF3:AF202,1500)&amp;" منخرط"</f>
        <v/>
      </c>
    </row>
    <row r="21">
      <c r="C21" s="29" t="n"/>
      <c r="H21" s="25" t="inlineStr">
        <is>
          <t>O-</t>
        </is>
      </c>
      <c r="I21" s="27">
        <f>COUNTIF(بيانات!Q3:Q202,"O-")</f>
        <v/>
      </c>
      <c r="K21" s="25" t="inlineStr">
        <is>
          <t>مجموع رسوم 1500</t>
        </is>
      </c>
      <c r="L21" s="27">
        <f>SUMIF(بيانات!AF3:AF202,1500,بيانات!AF3:AF202)</f>
        <v/>
      </c>
    </row>
    <row r="22">
      <c r="C22" s="29" t="n"/>
      <c r="H22" s="25" t="inlineStr">
        <is>
          <t>AB+</t>
        </is>
      </c>
      <c r="I22" s="27">
        <f>COUNTIF(بيانات!Q3:Q202,"AB+")</f>
        <v/>
      </c>
      <c r="K22" s="25" t="inlineStr">
        <is>
          <t>تأمين مُحصَّل</t>
        </is>
      </c>
      <c r="L22" s="27">
        <f>SUMIF(بيانات!AE3:AE202,"&lt;&gt;لم يدفع",بيانات!AG3:AG202)</f>
        <v/>
      </c>
    </row>
    <row r="23">
      <c r="C23" s="29" t="n"/>
      <c r="H23" s="25" t="inlineStr">
        <is>
          <t>AB-</t>
        </is>
      </c>
      <c r="I23" s="27">
        <f>COUNTIF(بيانات!Q3:Q202,"AB-")</f>
        <v/>
      </c>
      <c r="K23" s="25" t="inlineStr">
        <is>
          <t>حقوق مركب مُحصَّلة</t>
        </is>
      </c>
      <c r="L23" s="27">
        <f>SUMIFS(بيانات!AH3:AH202,بيانات!AE3:AE202,"&lt;&gt;لم يدفع",بيانات!B3:B202,"&lt;&gt;")</f>
        <v/>
      </c>
    </row>
    <row r="35" ht="24" customHeight="1">
      <c r="A35" s="30" t="inlineStr">
        <is>
          <t>✦  نادي RCS  |  منظومة إدارة الاشتراكات  |  جميع الحقوق محفوظة  ✦</t>
        </is>
      </c>
    </row>
  </sheetData>
  <mergeCells count="2">
    <mergeCell ref="A1:L1"/>
    <mergeCell ref="A35:L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4" customWidth="1" min="4" max="4"/>
    <col width="14" customWidth="1" min="5" max="5"/>
    <col width="18" customWidth="1" min="6" max="6"/>
    <col width="14" customWidth="1" min="7" max="7"/>
  </cols>
  <sheetData>
    <row r="1" ht="43.5" customHeight="1">
      <c r="A1" s="20" t="inlineStr">
        <is>
          <t>🏊  سجل حقوق المركب  —  نادي RCS</t>
        </is>
      </c>
    </row>
    <row r="2" ht="36" customHeight="1">
      <c r="A2" s="2" t="inlineStr">
        <is>
          <t>رقم الملف</t>
        </is>
      </c>
      <c r="B2" s="2" t="inlineStr">
        <is>
          <t>اللقب</t>
        </is>
      </c>
      <c r="C2" s="2" t="inlineStr">
        <is>
          <t>الاسم</t>
        </is>
      </c>
      <c r="D2" s="2" t="inlineStr">
        <is>
          <t>رسوم الاشتراك</t>
        </is>
      </c>
      <c r="E2" s="2" t="inlineStr">
        <is>
          <t>حقوق المركب</t>
        </is>
      </c>
      <c r="F2" s="2" t="inlineStr">
        <is>
          <t>المبلغ الإجمالي</t>
        </is>
      </c>
      <c r="G2" s="2" t="inlineStr">
        <is>
          <t>حالة الدفع</t>
        </is>
      </c>
    </row>
    <row r="3" ht="22" customHeight="1">
      <c r="A3" s="31">
        <f>IF(بيانات!AH3=1000,بيانات!A3,"")</f>
        <v/>
      </c>
      <c r="B3" s="32">
        <f>IF(بيانات!AH3=1000,بيانات!B3,"")</f>
        <v/>
      </c>
      <c r="C3" s="32">
        <f>IF(بيانات!AH3=1000,بيانات!C3,"")</f>
        <v/>
      </c>
      <c r="D3" s="33">
        <f>IF(بيانات!AH3=1000,بيانات!AF3,"")</f>
        <v/>
      </c>
      <c r="E3" s="33">
        <f>IF(بيانات!AH3=1000,بيانات!AH3,"")</f>
        <v/>
      </c>
      <c r="F3" s="33">
        <f>IF(بيانات!AH3=1000,بيانات!AI3,"")</f>
        <v/>
      </c>
      <c r="G3" s="31">
        <f>IF(بيانات!AH3=1000,بيانات!AE3,"")</f>
        <v/>
      </c>
    </row>
    <row r="4" ht="22" customHeight="1">
      <c r="A4" s="31">
        <f>IF(بيانات!AH4=1000,بيانات!A4,"")</f>
        <v/>
      </c>
      <c r="B4" s="32">
        <f>IF(بيانات!AH4=1000,بيانات!B4,"")</f>
        <v/>
      </c>
      <c r="C4" s="32">
        <f>IF(بيانات!AH4=1000,بيانات!C4,"")</f>
        <v/>
      </c>
      <c r="D4" s="33">
        <f>IF(بيانات!AH4=1000,بيانات!AF4,"")</f>
        <v/>
      </c>
      <c r="E4" s="33">
        <f>IF(بيانات!AH4=1000,بيانات!AH4,"")</f>
        <v/>
      </c>
      <c r="F4" s="33">
        <f>IF(بيانات!AH4=1000,بيانات!AI4,"")</f>
        <v/>
      </c>
      <c r="G4" s="31">
        <f>IF(بيانات!AH4=1000,بيانات!AE4,"")</f>
        <v/>
      </c>
    </row>
    <row r="5" ht="22" customHeight="1">
      <c r="A5" s="31">
        <f>IF(بيانات!AH5=1000,بيانات!A5,"")</f>
        <v/>
      </c>
      <c r="B5" s="32">
        <f>IF(بيانات!AH5=1000,بيانات!B5,"")</f>
        <v/>
      </c>
      <c r="C5" s="32">
        <f>IF(بيانات!AH5=1000,بيانات!C5,"")</f>
        <v/>
      </c>
      <c r="D5" s="33">
        <f>IF(بيانات!AH5=1000,بيانات!AF5,"")</f>
        <v/>
      </c>
      <c r="E5" s="33">
        <f>IF(بيانات!AH5=1000,بيانات!AH5,"")</f>
        <v/>
      </c>
      <c r="F5" s="33">
        <f>IF(بيانات!AH5=1000,بيانات!AI5,"")</f>
        <v/>
      </c>
      <c r="G5" s="31">
        <f>IF(بيانات!AH5=1000,بيانات!AE5,"")</f>
        <v/>
      </c>
    </row>
    <row r="6" ht="22" customHeight="1">
      <c r="A6" s="31">
        <f>IF(بيانات!AH6=1000,بيانات!A6,"")</f>
        <v/>
      </c>
      <c r="B6" s="32">
        <f>IF(بيانات!AH6=1000,بيانات!B6,"")</f>
        <v/>
      </c>
      <c r="C6" s="32">
        <f>IF(بيانات!AH6=1000,بيانات!C6,"")</f>
        <v/>
      </c>
      <c r="D6" s="33">
        <f>IF(بيانات!AH6=1000,بيانات!AF6,"")</f>
        <v/>
      </c>
      <c r="E6" s="33">
        <f>IF(بيانات!AH6=1000,بيانات!AH6,"")</f>
        <v/>
      </c>
      <c r="F6" s="33">
        <f>IF(بيانات!AH6=1000,بيانات!AI6,"")</f>
        <v/>
      </c>
      <c r="G6" s="31">
        <f>IF(بيانات!AH6=1000,بيانات!AE6,"")</f>
        <v/>
      </c>
    </row>
    <row r="7" ht="22" customHeight="1">
      <c r="A7" s="31">
        <f>IF(بيانات!AH7=1000,بيانات!A7,"")</f>
        <v/>
      </c>
      <c r="B7" s="32">
        <f>IF(بيانات!AH7=1000,بيانات!B7,"")</f>
        <v/>
      </c>
      <c r="C7" s="32">
        <f>IF(بيانات!AH7=1000,بيانات!C7,"")</f>
        <v/>
      </c>
      <c r="D7" s="33">
        <f>IF(بيانات!AH7=1000,بيانات!AF7,"")</f>
        <v/>
      </c>
      <c r="E7" s="33">
        <f>IF(بيانات!AH7=1000,بيانات!AH7,"")</f>
        <v/>
      </c>
      <c r="F7" s="33">
        <f>IF(بيانات!AH7=1000,بيانات!AI7,"")</f>
        <v/>
      </c>
      <c r="G7" s="31">
        <f>IF(بيانات!AH7=1000,بيانات!AE7,"")</f>
        <v/>
      </c>
    </row>
    <row r="8" ht="22" customHeight="1">
      <c r="A8" s="31">
        <f>IF(بيانات!AH8=1000,بيانات!A8,"")</f>
        <v/>
      </c>
      <c r="B8" s="32">
        <f>IF(بيانات!AH8=1000,بيانات!B8,"")</f>
        <v/>
      </c>
      <c r="C8" s="32">
        <f>IF(بيانات!AH8=1000,بيانات!C8,"")</f>
        <v/>
      </c>
      <c r="D8" s="33">
        <f>IF(بيانات!AH8=1000,بيانات!AF8,"")</f>
        <v/>
      </c>
      <c r="E8" s="33">
        <f>IF(بيانات!AH8=1000,بيانات!AH8,"")</f>
        <v/>
      </c>
      <c r="F8" s="33">
        <f>IF(بيانات!AH8=1000,بيانات!AI8,"")</f>
        <v/>
      </c>
      <c r="G8" s="31">
        <f>IF(بيانات!AH8=1000,بيانات!AE8,"")</f>
        <v/>
      </c>
    </row>
    <row r="9" ht="22" customHeight="1">
      <c r="A9" s="31">
        <f>IF(بيانات!AH9=1000,بيانات!A9,"")</f>
        <v/>
      </c>
      <c r="B9" s="32">
        <f>IF(بيانات!AH9=1000,بيانات!B9,"")</f>
        <v/>
      </c>
      <c r="C9" s="32">
        <f>IF(بيانات!AH9=1000,بيانات!C9,"")</f>
        <v/>
      </c>
      <c r="D9" s="33">
        <f>IF(بيانات!AH9=1000,بيانات!AF9,"")</f>
        <v/>
      </c>
      <c r="E9" s="33">
        <f>IF(بيانات!AH9=1000,بيانات!AH9,"")</f>
        <v/>
      </c>
      <c r="F9" s="33">
        <f>IF(بيانات!AH9=1000,بيانات!AI9,"")</f>
        <v/>
      </c>
      <c r="G9" s="31">
        <f>IF(بيانات!AH9=1000,بيانات!AE9,"")</f>
        <v/>
      </c>
    </row>
    <row r="10" ht="22" customHeight="1">
      <c r="A10" s="31">
        <f>IF(بيانات!AH10=1000,بيانات!A10,"")</f>
        <v/>
      </c>
      <c r="B10" s="32">
        <f>IF(بيانات!AH10=1000,بيانات!B10,"")</f>
        <v/>
      </c>
      <c r="C10" s="32">
        <f>IF(بيانات!AH10=1000,بيانات!C10,"")</f>
        <v/>
      </c>
      <c r="D10" s="33">
        <f>IF(بيانات!AH10=1000,بيانات!AF10,"")</f>
        <v/>
      </c>
      <c r="E10" s="33">
        <f>IF(بيانات!AH10=1000,بيانات!AH10,"")</f>
        <v/>
      </c>
      <c r="F10" s="33">
        <f>IF(بيانات!AH10=1000,بيانات!AI10,"")</f>
        <v/>
      </c>
      <c r="G10" s="31">
        <f>IF(بيانات!AH10=1000,بيانات!AE10,"")</f>
        <v/>
      </c>
    </row>
    <row r="11" ht="22" customHeight="1">
      <c r="A11" s="31">
        <f>IF(بيانات!AH11=1000,بيانات!A11,"")</f>
        <v/>
      </c>
      <c r="B11" s="32">
        <f>IF(بيانات!AH11=1000,بيانات!B11,"")</f>
        <v/>
      </c>
      <c r="C11" s="32">
        <f>IF(بيانات!AH11=1000,بيانات!C11,"")</f>
        <v/>
      </c>
      <c r="D11" s="33">
        <f>IF(بيانات!AH11=1000,بيانات!AF11,"")</f>
        <v/>
      </c>
      <c r="E11" s="33">
        <f>IF(بيانات!AH11=1000,بيانات!AH11,"")</f>
        <v/>
      </c>
      <c r="F11" s="33">
        <f>IF(بيانات!AH11=1000,بيانات!AI11,"")</f>
        <v/>
      </c>
      <c r="G11" s="31">
        <f>IF(بيانات!AH11=1000,بيانات!AE11,"")</f>
        <v/>
      </c>
    </row>
    <row r="12" ht="22" customHeight="1">
      <c r="A12" s="31">
        <f>IF(بيانات!AH12=1000,بيانات!A12,"")</f>
        <v/>
      </c>
      <c r="B12" s="32">
        <f>IF(بيانات!AH12=1000,بيانات!B12,"")</f>
        <v/>
      </c>
      <c r="C12" s="32">
        <f>IF(بيانات!AH12=1000,بيانات!C12,"")</f>
        <v/>
      </c>
      <c r="D12" s="33">
        <f>IF(بيانات!AH12=1000,بيانات!AF12,"")</f>
        <v/>
      </c>
      <c r="E12" s="33">
        <f>IF(بيانات!AH12=1000,بيانات!AH12,"")</f>
        <v/>
      </c>
      <c r="F12" s="33">
        <f>IF(بيانات!AH12=1000,بيانات!AI12,"")</f>
        <v/>
      </c>
      <c r="G12" s="31">
        <f>IF(بيانات!AH12=1000,بيانات!AE12,"")</f>
        <v/>
      </c>
    </row>
    <row r="13" ht="22" customHeight="1">
      <c r="A13" s="31">
        <f>IF(بيانات!AH13=1000,بيانات!A13,"")</f>
        <v/>
      </c>
      <c r="B13" s="32">
        <f>IF(بيانات!AH13=1000,بيانات!B13,"")</f>
        <v/>
      </c>
      <c r="C13" s="32">
        <f>IF(بيانات!AH13=1000,بيانات!C13,"")</f>
        <v/>
      </c>
      <c r="D13" s="33">
        <f>IF(بيانات!AH13=1000,بيانات!AF13,"")</f>
        <v/>
      </c>
      <c r="E13" s="33">
        <f>IF(بيانات!AH13=1000,بيانات!AH13,"")</f>
        <v/>
      </c>
      <c r="F13" s="33">
        <f>IF(بيانات!AH13=1000,بيانات!AI13,"")</f>
        <v/>
      </c>
      <c r="G13" s="31">
        <f>IF(بيانات!AH13=1000,بيانات!AE13,"")</f>
        <v/>
      </c>
    </row>
    <row r="14" ht="22" customHeight="1">
      <c r="A14" s="31">
        <f>IF(بيانات!AH14=1000,بيانات!A14,"")</f>
        <v/>
      </c>
      <c r="B14" s="32">
        <f>IF(بيانات!AH14=1000,بيانات!B14,"")</f>
        <v/>
      </c>
      <c r="C14" s="32">
        <f>IF(بيانات!AH14=1000,بيانات!C14,"")</f>
        <v/>
      </c>
      <c r="D14" s="33">
        <f>IF(بيانات!AH14=1000,بيانات!AF14,"")</f>
        <v/>
      </c>
      <c r="E14" s="33">
        <f>IF(بيانات!AH14=1000,بيانات!AH14,"")</f>
        <v/>
      </c>
      <c r="F14" s="33">
        <f>IF(بيانات!AH14=1000,بيانات!AI14,"")</f>
        <v/>
      </c>
      <c r="G14" s="31">
        <f>IF(بيانات!AH14=1000,بيانات!AE14,"")</f>
        <v/>
      </c>
    </row>
    <row r="15" ht="22" customHeight="1">
      <c r="A15" s="31">
        <f>IF(بيانات!AH15=1000,بيانات!A15,"")</f>
        <v/>
      </c>
      <c r="B15" s="32">
        <f>IF(بيانات!AH15=1000,بيانات!B15,"")</f>
        <v/>
      </c>
      <c r="C15" s="32">
        <f>IF(بيانات!AH15=1000,بيانات!C15,"")</f>
        <v/>
      </c>
      <c r="D15" s="33">
        <f>IF(بيانات!AH15=1000,بيانات!AF15,"")</f>
        <v/>
      </c>
      <c r="E15" s="33">
        <f>IF(بيانات!AH15=1000,بيانات!AH15,"")</f>
        <v/>
      </c>
      <c r="F15" s="33">
        <f>IF(بيانات!AH15=1000,بيانات!AI15,"")</f>
        <v/>
      </c>
      <c r="G15" s="31">
        <f>IF(بيانات!AH15=1000,بيانات!AE15,"")</f>
        <v/>
      </c>
    </row>
    <row r="16" ht="22" customHeight="1">
      <c r="A16" s="31">
        <f>IF(بيانات!AH16=1000,بيانات!A16,"")</f>
        <v/>
      </c>
      <c r="B16" s="32">
        <f>IF(بيانات!AH16=1000,بيانات!B16,"")</f>
        <v/>
      </c>
      <c r="C16" s="32">
        <f>IF(بيانات!AH16=1000,بيانات!C16,"")</f>
        <v/>
      </c>
      <c r="D16" s="33">
        <f>IF(بيانات!AH16=1000,بيانات!AF16,"")</f>
        <v/>
      </c>
      <c r="E16" s="33">
        <f>IF(بيانات!AH16=1000,بيانات!AH16,"")</f>
        <v/>
      </c>
      <c r="F16" s="33">
        <f>IF(بيانات!AH16=1000,بيانات!AI16,"")</f>
        <v/>
      </c>
      <c r="G16" s="31">
        <f>IF(بيانات!AH16=1000,بيانات!AE16,"")</f>
        <v/>
      </c>
    </row>
    <row r="17" ht="22" customHeight="1">
      <c r="A17" s="31">
        <f>IF(بيانات!AH17=1000,بيانات!A17,"")</f>
        <v/>
      </c>
      <c r="B17" s="32">
        <f>IF(بيانات!AH17=1000,بيانات!B17,"")</f>
        <v/>
      </c>
      <c r="C17" s="32">
        <f>IF(بيانات!AH17=1000,بيانات!C17,"")</f>
        <v/>
      </c>
      <c r="D17" s="33">
        <f>IF(بيانات!AH17=1000,بيانات!AF17,"")</f>
        <v/>
      </c>
      <c r="E17" s="33">
        <f>IF(بيانات!AH17=1000,بيانات!AH17,"")</f>
        <v/>
      </c>
      <c r="F17" s="33">
        <f>IF(بيانات!AH17=1000,بيانات!AI17,"")</f>
        <v/>
      </c>
      <c r="G17" s="31">
        <f>IF(بيانات!AH17=1000,بيانات!AE17,"")</f>
        <v/>
      </c>
    </row>
    <row r="18" ht="22" customHeight="1">
      <c r="A18" s="31">
        <f>IF(بيانات!AH18=1000,بيانات!A18,"")</f>
        <v/>
      </c>
      <c r="B18" s="32">
        <f>IF(بيانات!AH18=1000,بيانات!B18,"")</f>
        <v/>
      </c>
      <c r="C18" s="32">
        <f>IF(بيانات!AH18=1000,بيانات!C18,"")</f>
        <v/>
      </c>
      <c r="D18" s="33">
        <f>IF(بيانات!AH18=1000,بيانات!AF18,"")</f>
        <v/>
      </c>
      <c r="E18" s="33">
        <f>IF(بيانات!AH18=1000,بيانات!AH18,"")</f>
        <v/>
      </c>
      <c r="F18" s="33">
        <f>IF(بيانات!AH18=1000,بيانات!AI18,"")</f>
        <v/>
      </c>
      <c r="G18" s="31">
        <f>IF(بيانات!AH18=1000,بيانات!AE18,"")</f>
        <v/>
      </c>
    </row>
    <row r="19" ht="22" customHeight="1">
      <c r="A19" s="31">
        <f>IF(بيانات!AH19=1000,بيانات!A19,"")</f>
        <v/>
      </c>
      <c r="B19" s="32">
        <f>IF(بيانات!AH19=1000,بيانات!B19,"")</f>
        <v/>
      </c>
      <c r="C19" s="32">
        <f>IF(بيانات!AH19=1000,بيانات!C19,"")</f>
        <v/>
      </c>
      <c r="D19" s="33">
        <f>IF(بيانات!AH19=1000,بيانات!AF19,"")</f>
        <v/>
      </c>
      <c r="E19" s="33">
        <f>IF(بيانات!AH19=1000,بيانات!AH19,"")</f>
        <v/>
      </c>
      <c r="F19" s="33">
        <f>IF(بيانات!AH19=1000,بيانات!AI19,"")</f>
        <v/>
      </c>
      <c r="G19" s="31">
        <f>IF(بيانات!AH19=1000,بيانات!AE19,"")</f>
        <v/>
      </c>
    </row>
    <row r="20" ht="22" customHeight="1">
      <c r="A20" s="31">
        <f>IF(بيانات!AH20=1000,بيانات!A20,"")</f>
        <v/>
      </c>
      <c r="B20" s="32">
        <f>IF(بيانات!AH20=1000,بيانات!B20,"")</f>
        <v/>
      </c>
      <c r="C20" s="32">
        <f>IF(بيانات!AH20=1000,بيانات!C20,"")</f>
        <v/>
      </c>
      <c r="D20" s="33">
        <f>IF(بيانات!AH20=1000,بيانات!AF20,"")</f>
        <v/>
      </c>
      <c r="E20" s="33">
        <f>IF(بيانات!AH20=1000,بيانات!AH20,"")</f>
        <v/>
      </c>
      <c r="F20" s="33">
        <f>IF(بيانات!AH20=1000,بيانات!AI20,"")</f>
        <v/>
      </c>
      <c r="G20" s="31">
        <f>IF(بيانات!AH20=1000,بيانات!AE20,"")</f>
        <v/>
      </c>
    </row>
    <row r="21" ht="22" customHeight="1">
      <c r="A21" s="31">
        <f>IF(بيانات!AH21=1000,بيانات!A21,"")</f>
        <v/>
      </c>
      <c r="B21" s="32">
        <f>IF(بيانات!AH21=1000,بيانات!B21,"")</f>
        <v/>
      </c>
      <c r="C21" s="32">
        <f>IF(بيانات!AH21=1000,بيانات!C21,"")</f>
        <v/>
      </c>
      <c r="D21" s="33">
        <f>IF(بيانات!AH21=1000,بيانات!AF21,"")</f>
        <v/>
      </c>
      <c r="E21" s="33">
        <f>IF(بيانات!AH21=1000,بيانات!AH21,"")</f>
        <v/>
      </c>
      <c r="F21" s="33">
        <f>IF(بيانات!AH21=1000,بيانات!AI21,"")</f>
        <v/>
      </c>
      <c r="G21" s="31">
        <f>IF(بيانات!AH21=1000,بيانات!AE21,"")</f>
        <v/>
      </c>
    </row>
    <row r="22" ht="22" customHeight="1">
      <c r="A22" s="31">
        <f>IF(بيانات!AH22=1000,بيانات!A22,"")</f>
        <v/>
      </c>
      <c r="B22" s="32">
        <f>IF(بيانات!AH22=1000,بيانات!B22,"")</f>
        <v/>
      </c>
      <c r="C22" s="32">
        <f>IF(بيانات!AH22=1000,بيانات!C22,"")</f>
        <v/>
      </c>
      <c r="D22" s="33">
        <f>IF(بيانات!AH22=1000,بيانات!AF22,"")</f>
        <v/>
      </c>
      <c r="E22" s="33">
        <f>IF(بيانات!AH22=1000,بيانات!AH22,"")</f>
        <v/>
      </c>
      <c r="F22" s="33">
        <f>IF(بيانات!AH22=1000,بيانات!AI22,"")</f>
        <v/>
      </c>
      <c r="G22" s="31">
        <f>IF(بيانات!AH22=1000,بيانات!AE22,"")</f>
        <v/>
      </c>
    </row>
    <row r="23" ht="22" customHeight="1">
      <c r="A23" s="31">
        <f>IF(بيانات!AH23=1000,بيانات!A23,"")</f>
        <v/>
      </c>
      <c r="B23" s="32">
        <f>IF(بيانات!AH23=1000,بيانات!B23,"")</f>
        <v/>
      </c>
      <c r="C23" s="32">
        <f>IF(بيانات!AH23=1000,بيانات!C23,"")</f>
        <v/>
      </c>
      <c r="D23" s="33">
        <f>IF(بيانات!AH23=1000,بيانات!AF23,"")</f>
        <v/>
      </c>
      <c r="E23" s="33">
        <f>IF(بيانات!AH23=1000,بيانات!AH23,"")</f>
        <v/>
      </c>
      <c r="F23" s="33">
        <f>IF(بيانات!AH23=1000,بيانات!AI23,"")</f>
        <v/>
      </c>
      <c r="G23" s="31">
        <f>IF(بيانات!AH23=1000,بيانات!AE23,"")</f>
        <v/>
      </c>
    </row>
    <row r="24" ht="22" customHeight="1">
      <c r="A24" s="31">
        <f>IF(بيانات!AH24=1000,بيانات!A24,"")</f>
        <v/>
      </c>
      <c r="B24" s="32">
        <f>IF(بيانات!AH24=1000,بيانات!B24,"")</f>
        <v/>
      </c>
      <c r="C24" s="32">
        <f>IF(بيانات!AH24=1000,بيانات!C24,"")</f>
        <v/>
      </c>
      <c r="D24" s="33">
        <f>IF(بيانات!AH24=1000,بيانات!AF24,"")</f>
        <v/>
      </c>
      <c r="E24" s="33">
        <f>IF(بيانات!AH24=1000,بيانات!AH24,"")</f>
        <v/>
      </c>
      <c r="F24" s="33">
        <f>IF(بيانات!AH24=1000,بيانات!AI24,"")</f>
        <v/>
      </c>
      <c r="G24" s="31">
        <f>IF(بيانات!AH24=1000,بيانات!AE24,"")</f>
        <v/>
      </c>
    </row>
    <row r="25" ht="22" customHeight="1">
      <c r="A25" s="31">
        <f>IF(بيانات!AH25=1000,بيانات!A25,"")</f>
        <v/>
      </c>
      <c r="B25" s="32">
        <f>IF(بيانات!AH25=1000,بيانات!B25,"")</f>
        <v/>
      </c>
      <c r="C25" s="32">
        <f>IF(بيانات!AH25=1000,بيانات!C25,"")</f>
        <v/>
      </c>
      <c r="D25" s="33">
        <f>IF(بيانات!AH25=1000,بيانات!AF25,"")</f>
        <v/>
      </c>
      <c r="E25" s="33">
        <f>IF(بيانات!AH25=1000,بيانات!AH25,"")</f>
        <v/>
      </c>
      <c r="F25" s="33">
        <f>IF(بيانات!AH25=1000,بيانات!AI25,"")</f>
        <v/>
      </c>
      <c r="G25" s="31">
        <f>IF(بيانات!AH25=1000,بيانات!AE25,"")</f>
        <v/>
      </c>
    </row>
    <row r="26" ht="22" customHeight="1">
      <c r="A26" s="31">
        <f>IF(بيانات!AH26=1000,بيانات!A26,"")</f>
        <v/>
      </c>
      <c r="B26" s="32">
        <f>IF(بيانات!AH26=1000,بيانات!B26,"")</f>
        <v/>
      </c>
      <c r="C26" s="32">
        <f>IF(بيانات!AH26=1000,بيانات!C26,"")</f>
        <v/>
      </c>
      <c r="D26" s="33">
        <f>IF(بيانات!AH26=1000,بيانات!AF26,"")</f>
        <v/>
      </c>
      <c r="E26" s="33">
        <f>IF(بيانات!AH26=1000,بيانات!AH26,"")</f>
        <v/>
      </c>
      <c r="F26" s="33">
        <f>IF(بيانات!AH26=1000,بيانات!AI26,"")</f>
        <v/>
      </c>
      <c r="G26" s="31">
        <f>IF(بيانات!AH26=1000,بيانات!AE26,"")</f>
        <v/>
      </c>
    </row>
    <row r="27" ht="22" customHeight="1">
      <c r="A27" s="31">
        <f>IF(بيانات!AH27=1000,بيانات!A27,"")</f>
        <v/>
      </c>
      <c r="B27" s="32">
        <f>IF(بيانات!AH27=1000,بيانات!B27,"")</f>
        <v/>
      </c>
      <c r="C27" s="32">
        <f>IF(بيانات!AH27=1000,بيانات!C27,"")</f>
        <v/>
      </c>
      <c r="D27" s="33">
        <f>IF(بيانات!AH27=1000,بيانات!AF27,"")</f>
        <v/>
      </c>
      <c r="E27" s="33">
        <f>IF(بيانات!AH27=1000,بيانات!AH27,"")</f>
        <v/>
      </c>
      <c r="F27" s="33">
        <f>IF(بيانات!AH27=1000,بيانات!AI27,"")</f>
        <v/>
      </c>
      <c r="G27" s="31">
        <f>IF(بيانات!AH27=1000,بيانات!AE27,"")</f>
        <v/>
      </c>
    </row>
    <row r="28" ht="22" customHeight="1">
      <c r="A28" s="31">
        <f>IF(بيانات!AH28=1000,بيانات!A28,"")</f>
        <v/>
      </c>
      <c r="B28" s="32">
        <f>IF(بيانات!AH28=1000,بيانات!B28,"")</f>
        <v/>
      </c>
      <c r="C28" s="32">
        <f>IF(بيانات!AH28=1000,بيانات!C28,"")</f>
        <v/>
      </c>
      <c r="D28" s="33">
        <f>IF(بيانات!AH28=1000,بيانات!AF28,"")</f>
        <v/>
      </c>
      <c r="E28" s="33">
        <f>IF(بيانات!AH28=1000,بيانات!AH28,"")</f>
        <v/>
      </c>
      <c r="F28" s="33">
        <f>IF(بيانات!AH28=1000,بيانات!AI28,"")</f>
        <v/>
      </c>
      <c r="G28" s="31">
        <f>IF(بيانات!AH28=1000,بيانات!AE28,"")</f>
        <v/>
      </c>
    </row>
    <row r="29" ht="22" customHeight="1">
      <c r="A29" s="31">
        <f>IF(بيانات!AH29=1000,بيانات!A29,"")</f>
        <v/>
      </c>
      <c r="B29" s="32">
        <f>IF(بيانات!AH29=1000,بيانات!B29,"")</f>
        <v/>
      </c>
      <c r="C29" s="32">
        <f>IF(بيانات!AH29=1000,بيانات!C29,"")</f>
        <v/>
      </c>
      <c r="D29" s="33">
        <f>IF(بيانات!AH29=1000,بيانات!AF29,"")</f>
        <v/>
      </c>
      <c r="E29" s="33">
        <f>IF(بيانات!AH29=1000,بيانات!AH29,"")</f>
        <v/>
      </c>
      <c r="F29" s="33">
        <f>IF(بيانات!AH29=1000,بيانات!AI29,"")</f>
        <v/>
      </c>
      <c r="G29" s="31">
        <f>IF(بيانات!AH29=1000,بيانات!AE29,"")</f>
        <v/>
      </c>
    </row>
    <row r="30" ht="22" customHeight="1">
      <c r="A30" s="31">
        <f>IF(بيانات!AH30=1000,بيانات!A30,"")</f>
        <v/>
      </c>
      <c r="B30" s="32">
        <f>IF(بيانات!AH30=1000,بيانات!B30,"")</f>
        <v/>
      </c>
      <c r="C30" s="32">
        <f>IF(بيانات!AH30=1000,بيانات!C30,"")</f>
        <v/>
      </c>
      <c r="D30" s="33">
        <f>IF(بيانات!AH30=1000,بيانات!AF30,"")</f>
        <v/>
      </c>
      <c r="E30" s="33">
        <f>IF(بيانات!AH30=1000,بيانات!AH30,"")</f>
        <v/>
      </c>
      <c r="F30" s="33">
        <f>IF(بيانات!AH30=1000,بيانات!AI30,"")</f>
        <v/>
      </c>
      <c r="G30" s="31">
        <f>IF(بيانات!AH30=1000,بيانات!AE30,"")</f>
        <v/>
      </c>
    </row>
    <row r="31" ht="22" customHeight="1">
      <c r="A31" s="31">
        <f>IF(بيانات!AH31=1000,بيانات!A31,"")</f>
        <v/>
      </c>
      <c r="B31" s="32">
        <f>IF(بيانات!AH31=1000,بيانات!B31,"")</f>
        <v/>
      </c>
      <c r="C31" s="32">
        <f>IF(بيانات!AH31=1000,بيانات!C31,"")</f>
        <v/>
      </c>
      <c r="D31" s="33">
        <f>IF(بيانات!AH31=1000,بيانات!AF31,"")</f>
        <v/>
      </c>
      <c r="E31" s="33">
        <f>IF(بيانات!AH31=1000,بيانات!AH31,"")</f>
        <v/>
      </c>
      <c r="F31" s="33">
        <f>IF(بيانات!AH31=1000,بيانات!AI31,"")</f>
        <v/>
      </c>
      <c r="G31" s="31">
        <f>IF(بيانات!AH31=1000,بيانات!AE31,"")</f>
        <v/>
      </c>
    </row>
    <row r="32" ht="22" customHeight="1">
      <c r="A32" s="31">
        <f>IF(بيانات!AH32=1000,بيانات!A32,"")</f>
        <v/>
      </c>
      <c r="B32" s="32">
        <f>IF(بيانات!AH32=1000,بيانات!B32,"")</f>
        <v/>
      </c>
      <c r="C32" s="32">
        <f>IF(بيانات!AH32=1000,بيانات!C32,"")</f>
        <v/>
      </c>
      <c r="D32" s="33">
        <f>IF(بيانات!AH32=1000,بيانات!AF32,"")</f>
        <v/>
      </c>
      <c r="E32" s="33">
        <f>IF(بيانات!AH32=1000,بيانات!AH32,"")</f>
        <v/>
      </c>
      <c r="F32" s="33">
        <f>IF(بيانات!AH32=1000,بيانات!AI32,"")</f>
        <v/>
      </c>
      <c r="G32" s="31">
        <f>IF(بيانات!AH32=1000,بيانات!AE32,"")</f>
        <v/>
      </c>
    </row>
    <row r="33" ht="22" customHeight="1">
      <c r="A33" s="31">
        <f>IF(بيانات!AH33=1000,بيانات!A33,"")</f>
        <v/>
      </c>
      <c r="B33" s="32">
        <f>IF(بيانات!AH33=1000,بيانات!B33,"")</f>
        <v/>
      </c>
      <c r="C33" s="32">
        <f>IF(بيانات!AH33=1000,بيانات!C33,"")</f>
        <v/>
      </c>
      <c r="D33" s="33">
        <f>IF(بيانات!AH33=1000,بيانات!AF33,"")</f>
        <v/>
      </c>
      <c r="E33" s="33">
        <f>IF(بيانات!AH33=1000,بيانات!AH33,"")</f>
        <v/>
      </c>
      <c r="F33" s="33">
        <f>IF(بيانات!AH33=1000,بيانات!AI33,"")</f>
        <v/>
      </c>
      <c r="G33" s="31">
        <f>IF(بيانات!AH33=1000,بيانات!AE33,"")</f>
        <v/>
      </c>
    </row>
    <row r="34" ht="22" customHeight="1">
      <c r="A34" s="31">
        <f>IF(بيانات!AH34=1000,بيانات!A34,"")</f>
        <v/>
      </c>
      <c r="B34" s="32">
        <f>IF(بيانات!AH34=1000,بيانات!B34,"")</f>
        <v/>
      </c>
      <c r="C34" s="32">
        <f>IF(بيانات!AH34=1000,بيانات!C34,"")</f>
        <v/>
      </c>
      <c r="D34" s="33">
        <f>IF(بيانات!AH34=1000,بيانات!AF34,"")</f>
        <v/>
      </c>
      <c r="E34" s="33">
        <f>IF(بيانات!AH34=1000,بيانات!AH34,"")</f>
        <v/>
      </c>
      <c r="F34" s="33">
        <f>IF(بيانات!AH34=1000,بيانات!AI34,"")</f>
        <v/>
      </c>
      <c r="G34" s="31">
        <f>IF(بيانات!AH34=1000,بيانات!AE34,"")</f>
        <v/>
      </c>
    </row>
    <row r="35" ht="22" customHeight="1">
      <c r="A35" s="31">
        <f>IF(بيانات!AH35=1000,بيانات!A35,"")</f>
        <v/>
      </c>
      <c r="B35" s="32">
        <f>IF(بيانات!AH35=1000,بيانات!B35,"")</f>
        <v/>
      </c>
      <c r="C35" s="32">
        <f>IF(بيانات!AH35=1000,بيانات!C35,"")</f>
        <v/>
      </c>
      <c r="D35" s="33">
        <f>IF(بيانات!AH35=1000,بيانات!AF35,"")</f>
        <v/>
      </c>
      <c r="E35" s="33">
        <f>IF(بيانات!AH35=1000,بيانات!AH35,"")</f>
        <v/>
      </c>
      <c r="F35" s="33">
        <f>IF(بيانات!AH35=1000,بيانات!AI35,"")</f>
        <v/>
      </c>
      <c r="G35" s="31">
        <f>IF(بيانات!AH35=1000,بيانات!AE35,"")</f>
        <v/>
      </c>
    </row>
    <row r="36" ht="22" customHeight="1">
      <c r="A36" s="31">
        <f>IF(بيانات!AH36=1000,بيانات!A36,"")</f>
        <v/>
      </c>
      <c r="B36" s="32">
        <f>IF(بيانات!AH36=1000,بيانات!B36,"")</f>
        <v/>
      </c>
      <c r="C36" s="32">
        <f>IF(بيانات!AH36=1000,بيانات!C36,"")</f>
        <v/>
      </c>
      <c r="D36" s="33">
        <f>IF(بيانات!AH36=1000,بيانات!AF36,"")</f>
        <v/>
      </c>
      <c r="E36" s="33">
        <f>IF(بيانات!AH36=1000,بيانات!AH36,"")</f>
        <v/>
      </c>
      <c r="F36" s="33">
        <f>IF(بيانات!AH36=1000,بيانات!AI36,"")</f>
        <v/>
      </c>
      <c r="G36" s="31">
        <f>IF(بيانات!AH36=1000,بيانات!AE36,"")</f>
        <v/>
      </c>
    </row>
    <row r="37" ht="22" customHeight="1">
      <c r="A37" s="31">
        <f>IF(بيانات!AH37=1000,بيانات!A37,"")</f>
        <v/>
      </c>
      <c r="B37" s="32">
        <f>IF(بيانات!AH37=1000,بيانات!B37,"")</f>
        <v/>
      </c>
      <c r="C37" s="32">
        <f>IF(بيانات!AH37=1000,بيانات!C37,"")</f>
        <v/>
      </c>
      <c r="D37" s="33">
        <f>IF(بيانات!AH37=1000,بيانات!AF37,"")</f>
        <v/>
      </c>
      <c r="E37" s="33">
        <f>IF(بيانات!AH37=1000,بيانات!AH37,"")</f>
        <v/>
      </c>
      <c r="F37" s="33">
        <f>IF(بيانات!AH37=1000,بيانات!AI37,"")</f>
        <v/>
      </c>
      <c r="G37" s="31">
        <f>IF(بيانات!AH37=1000,بيانات!AE37,"")</f>
        <v/>
      </c>
    </row>
    <row r="38" ht="22" customHeight="1">
      <c r="A38" s="31">
        <f>IF(بيانات!AH38=1000,بيانات!A38,"")</f>
        <v/>
      </c>
      <c r="B38" s="32">
        <f>IF(بيانات!AH38=1000,بيانات!B38,"")</f>
        <v/>
      </c>
      <c r="C38" s="32">
        <f>IF(بيانات!AH38=1000,بيانات!C38,"")</f>
        <v/>
      </c>
      <c r="D38" s="33">
        <f>IF(بيانات!AH38=1000,بيانات!AF38,"")</f>
        <v/>
      </c>
      <c r="E38" s="33">
        <f>IF(بيانات!AH38=1000,بيانات!AH38,"")</f>
        <v/>
      </c>
      <c r="F38" s="33">
        <f>IF(بيانات!AH38=1000,بيانات!AI38,"")</f>
        <v/>
      </c>
      <c r="G38" s="31">
        <f>IF(بيانات!AH38=1000,بيانات!AE38,"")</f>
        <v/>
      </c>
    </row>
    <row r="39" ht="22" customHeight="1">
      <c r="A39" s="31">
        <f>IF(بيانات!AH39=1000,بيانات!A39,"")</f>
        <v/>
      </c>
      <c r="B39" s="32">
        <f>IF(بيانات!AH39=1000,بيانات!B39,"")</f>
        <v/>
      </c>
      <c r="C39" s="32">
        <f>IF(بيانات!AH39=1000,بيانات!C39,"")</f>
        <v/>
      </c>
      <c r="D39" s="33">
        <f>IF(بيانات!AH39=1000,بيانات!AF39,"")</f>
        <v/>
      </c>
      <c r="E39" s="33">
        <f>IF(بيانات!AH39=1000,بيانات!AH39,"")</f>
        <v/>
      </c>
      <c r="F39" s="33">
        <f>IF(بيانات!AH39=1000,بيانات!AI39,"")</f>
        <v/>
      </c>
      <c r="G39" s="31">
        <f>IF(بيانات!AH39=1000,بيانات!AE39,"")</f>
        <v/>
      </c>
    </row>
    <row r="40" ht="22" customHeight="1">
      <c r="A40" s="31">
        <f>IF(بيانات!AH40=1000,بيانات!A40,"")</f>
        <v/>
      </c>
      <c r="B40" s="32">
        <f>IF(بيانات!AH40=1000,بيانات!B40,"")</f>
        <v/>
      </c>
      <c r="C40" s="32">
        <f>IF(بيانات!AH40=1000,بيانات!C40,"")</f>
        <v/>
      </c>
      <c r="D40" s="33">
        <f>IF(بيانات!AH40=1000,بيانات!AF40,"")</f>
        <v/>
      </c>
      <c r="E40" s="33">
        <f>IF(بيانات!AH40=1000,بيانات!AH40,"")</f>
        <v/>
      </c>
      <c r="F40" s="33">
        <f>IF(بيانات!AH40=1000,بيانات!AI40,"")</f>
        <v/>
      </c>
      <c r="G40" s="31">
        <f>IF(بيانات!AH40=1000,بيانات!AE40,"")</f>
        <v/>
      </c>
    </row>
    <row r="41" ht="22" customHeight="1">
      <c r="A41" s="31">
        <f>IF(بيانات!AH41=1000,بيانات!A41,"")</f>
        <v/>
      </c>
      <c r="B41" s="32">
        <f>IF(بيانات!AH41=1000,بيانات!B41,"")</f>
        <v/>
      </c>
      <c r="C41" s="32">
        <f>IF(بيانات!AH41=1000,بيانات!C41,"")</f>
        <v/>
      </c>
      <c r="D41" s="33">
        <f>IF(بيانات!AH41=1000,بيانات!AF41,"")</f>
        <v/>
      </c>
      <c r="E41" s="33">
        <f>IF(بيانات!AH41=1000,بيانات!AH41,"")</f>
        <v/>
      </c>
      <c r="F41" s="33">
        <f>IF(بيانات!AH41=1000,بيانات!AI41,"")</f>
        <v/>
      </c>
      <c r="G41" s="31">
        <f>IF(بيانات!AH41=1000,بيانات!AE41,"")</f>
        <v/>
      </c>
    </row>
    <row r="42" ht="22" customHeight="1">
      <c r="A42" s="31">
        <f>IF(بيانات!AH42=1000,بيانات!A42,"")</f>
        <v/>
      </c>
      <c r="B42" s="32">
        <f>IF(بيانات!AH42=1000,بيانات!B42,"")</f>
        <v/>
      </c>
      <c r="C42" s="32">
        <f>IF(بيانات!AH42=1000,بيانات!C42,"")</f>
        <v/>
      </c>
      <c r="D42" s="33">
        <f>IF(بيانات!AH42=1000,بيانات!AF42,"")</f>
        <v/>
      </c>
      <c r="E42" s="33">
        <f>IF(بيانات!AH42=1000,بيانات!AH42,"")</f>
        <v/>
      </c>
      <c r="F42" s="33">
        <f>IF(بيانات!AH42=1000,بيانات!AI42,"")</f>
        <v/>
      </c>
      <c r="G42" s="31">
        <f>IF(بيانات!AH42=1000,بيانات!AE42,"")</f>
        <v/>
      </c>
    </row>
    <row r="43" ht="22" customHeight="1">
      <c r="A43" s="31">
        <f>IF(بيانات!AH43=1000,بيانات!A43,"")</f>
        <v/>
      </c>
      <c r="B43" s="32">
        <f>IF(بيانات!AH43=1000,بيانات!B43,"")</f>
        <v/>
      </c>
      <c r="C43" s="32">
        <f>IF(بيانات!AH43=1000,بيانات!C43,"")</f>
        <v/>
      </c>
      <c r="D43" s="33">
        <f>IF(بيانات!AH43=1000,بيانات!AF43,"")</f>
        <v/>
      </c>
      <c r="E43" s="33">
        <f>IF(بيانات!AH43=1000,بيانات!AH43,"")</f>
        <v/>
      </c>
      <c r="F43" s="33">
        <f>IF(بيانات!AH43=1000,بيانات!AI43,"")</f>
        <v/>
      </c>
      <c r="G43" s="31">
        <f>IF(بيانات!AH43=1000,بيانات!AE43,"")</f>
        <v/>
      </c>
    </row>
    <row r="44" ht="22" customHeight="1">
      <c r="A44" s="31">
        <f>IF(بيانات!AH44=1000,بيانات!A44,"")</f>
        <v/>
      </c>
      <c r="B44" s="32">
        <f>IF(بيانات!AH44=1000,بيانات!B44,"")</f>
        <v/>
      </c>
      <c r="C44" s="32">
        <f>IF(بيانات!AH44=1000,بيانات!C44,"")</f>
        <v/>
      </c>
      <c r="D44" s="33">
        <f>IF(بيانات!AH44=1000,بيانات!AF44,"")</f>
        <v/>
      </c>
      <c r="E44" s="33">
        <f>IF(بيانات!AH44=1000,بيانات!AH44,"")</f>
        <v/>
      </c>
      <c r="F44" s="33">
        <f>IF(بيانات!AH44=1000,بيانات!AI44,"")</f>
        <v/>
      </c>
      <c r="G44" s="31">
        <f>IF(بيانات!AH44=1000,بيانات!AE44,"")</f>
        <v/>
      </c>
    </row>
    <row r="45" ht="22" customHeight="1">
      <c r="A45" s="31">
        <f>IF(بيانات!AH45=1000,بيانات!A45,"")</f>
        <v/>
      </c>
      <c r="B45" s="32">
        <f>IF(بيانات!AH45=1000,بيانات!B45,"")</f>
        <v/>
      </c>
      <c r="C45" s="32">
        <f>IF(بيانات!AH45=1000,بيانات!C45,"")</f>
        <v/>
      </c>
      <c r="D45" s="33">
        <f>IF(بيانات!AH45=1000,بيانات!AF45,"")</f>
        <v/>
      </c>
      <c r="E45" s="33">
        <f>IF(بيانات!AH45=1000,بيانات!AH45,"")</f>
        <v/>
      </c>
      <c r="F45" s="33">
        <f>IF(بيانات!AH45=1000,بيانات!AI45,"")</f>
        <v/>
      </c>
      <c r="G45" s="31">
        <f>IF(بيانات!AH45=1000,بيانات!AE45,"")</f>
        <v/>
      </c>
    </row>
    <row r="46" ht="22" customHeight="1">
      <c r="A46" s="31">
        <f>IF(بيانات!AH46=1000,بيانات!A46,"")</f>
        <v/>
      </c>
      <c r="B46" s="32">
        <f>IF(بيانات!AH46=1000,بيانات!B46,"")</f>
        <v/>
      </c>
      <c r="C46" s="32">
        <f>IF(بيانات!AH46=1000,بيانات!C46,"")</f>
        <v/>
      </c>
      <c r="D46" s="33">
        <f>IF(بيانات!AH46=1000,بيانات!AF46,"")</f>
        <v/>
      </c>
      <c r="E46" s="33">
        <f>IF(بيانات!AH46=1000,بيانات!AH46,"")</f>
        <v/>
      </c>
      <c r="F46" s="33">
        <f>IF(بيانات!AH46=1000,بيانات!AI46,"")</f>
        <v/>
      </c>
      <c r="G46" s="31">
        <f>IF(بيانات!AH46=1000,بيانات!AE46,"")</f>
        <v/>
      </c>
    </row>
    <row r="47" ht="22" customHeight="1">
      <c r="A47" s="31">
        <f>IF(بيانات!AH47=1000,بيانات!A47,"")</f>
        <v/>
      </c>
      <c r="B47" s="32">
        <f>IF(بيانات!AH47=1000,بيانات!B47,"")</f>
        <v/>
      </c>
      <c r="C47" s="32">
        <f>IF(بيانات!AH47=1000,بيانات!C47,"")</f>
        <v/>
      </c>
      <c r="D47" s="33">
        <f>IF(بيانات!AH47=1000,بيانات!AF47,"")</f>
        <v/>
      </c>
      <c r="E47" s="33">
        <f>IF(بيانات!AH47=1000,بيانات!AH47,"")</f>
        <v/>
      </c>
      <c r="F47" s="33">
        <f>IF(بيانات!AH47=1000,بيانات!AI47,"")</f>
        <v/>
      </c>
      <c r="G47" s="31">
        <f>IF(بيانات!AH47=1000,بيانات!AE47,"")</f>
        <v/>
      </c>
    </row>
    <row r="48" ht="22" customHeight="1">
      <c r="A48" s="31">
        <f>IF(بيانات!AH48=1000,بيانات!A48,"")</f>
        <v/>
      </c>
      <c r="B48" s="32">
        <f>IF(بيانات!AH48=1000,بيانات!B48,"")</f>
        <v/>
      </c>
      <c r="C48" s="32">
        <f>IF(بيانات!AH48=1000,بيانات!C48,"")</f>
        <v/>
      </c>
      <c r="D48" s="33">
        <f>IF(بيانات!AH48=1000,بيانات!AF48,"")</f>
        <v/>
      </c>
      <c r="E48" s="33">
        <f>IF(بيانات!AH48=1000,بيانات!AH48,"")</f>
        <v/>
      </c>
      <c r="F48" s="33">
        <f>IF(بيانات!AH48=1000,بيانات!AI48,"")</f>
        <v/>
      </c>
      <c r="G48" s="31">
        <f>IF(بيانات!AH48=1000,بيانات!AE48,"")</f>
        <v/>
      </c>
    </row>
    <row r="49" ht="22" customHeight="1">
      <c r="A49" s="31">
        <f>IF(بيانات!AH49=1000,بيانات!A49,"")</f>
        <v/>
      </c>
      <c r="B49" s="32">
        <f>IF(بيانات!AH49=1000,بيانات!B49,"")</f>
        <v/>
      </c>
      <c r="C49" s="32">
        <f>IF(بيانات!AH49=1000,بيانات!C49,"")</f>
        <v/>
      </c>
      <c r="D49" s="33">
        <f>IF(بيانات!AH49=1000,بيانات!AF49,"")</f>
        <v/>
      </c>
      <c r="E49" s="33">
        <f>IF(بيانات!AH49=1000,بيانات!AH49,"")</f>
        <v/>
      </c>
      <c r="F49" s="33">
        <f>IF(بيانات!AH49=1000,بيانات!AI49,"")</f>
        <v/>
      </c>
      <c r="G49" s="31">
        <f>IF(بيانات!AH49=1000,بيانات!AE49,"")</f>
        <v/>
      </c>
    </row>
    <row r="50" ht="22" customHeight="1">
      <c r="A50" s="31">
        <f>IF(بيانات!AH50=1000,بيانات!A50,"")</f>
        <v/>
      </c>
      <c r="B50" s="32">
        <f>IF(بيانات!AH50=1000,بيانات!B50,"")</f>
        <v/>
      </c>
      <c r="C50" s="32">
        <f>IF(بيانات!AH50=1000,بيانات!C50,"")</f>
        <v/>
      </c>
      <c r="D50" s="33">
        <f>IF(بيانات!AH50=1000,بيانات!AF50,"")</f>
        <v/>
      </c>
      <c r="E50" s="33">
        <f>IF(بيانات!AH50=1000,بيانات!AH50,"")</f>
        <v/>
      </c>
      <c r="F50" s="33">
        <f>IF(بيانات!AH50=1000,بيانات!AI50,"")</f>
        <v/>
      </c>
      <c r="G50" s="31">
        <f>IF(بيانات!AH50=1000,بيانات!AE50,"")</f>
        <v/>
      </c>
    </row>
    <row r="51" ht="22" customHeight="1">
      <c r="A51" s="31">
        <f>IF(بيانات!AH51=1000,بيانات!A51,"")</f>
        <v/>
      </c>
      <c r="B51" s="32">
        <f>IF(بيانات!AH51=1000,بيانات!B51,"")</f>
        <v/>
      </c>
      <c r="C51" s="32">
        <f>IF(بيانات!AH51=1000,بيانات!C51,"")</f>
        <v/>
      </c>
      <c r="D51" s="33">
        <f>IF(بيانات!AH51=1000,بيانات!AF51,"")</f>
        <v/>
      </c>
      <c r="E51" s="33">
        <f>IF(بيانات!AH51=1000,بيانات!AH51,"")</f>
        <v/>
      </c>
      <c r="F51" s="33">
        <f>IF(بيانات!AH51=1000,بيانات!AI51,"")</f>
        <v/>
      </c>
      <c r="G51" s="31">
        <f>IF(بيانات!AH51=1000,بيانات!AE51,"")</f>
        <v/>
      </c>
    </row>
    <row r="52" ht="22" customHeight="1">
      <c r="A52" s="31">
        <f>IF(بيانات!AH52=1000,بيانات!A52,"")</f>
        <v/>
      </c>
      <c r="B52" s="32">
        <f>IF(بيانات!AH52=1000,بيانات!B52,"")</f>
        <v/>
      </c>
      <c r="C52" s="32">
        <f>IF(بيانات!AH52=1000,بيانات!C52,"")</f>
        <v/>
      </c>
      <c r="D52" s="33">
        <f>IF(بيانات!AH52=1000,بيانات!AF52,"")</f>
        <v/>
      </c>
      <c r="E52" s="33">
        <f>IF(بيانات!AH52=1000,بيانات!AH52,"")</f>
        <v/>
      </c>
      <c r="F52" s="33">
        <f>IF(بيانات!AH52=1000,بيانات!AI52,"")</f>
        <v/>
      </c>
      <c r="G52" s="31">
        <f>IF(بيانات!AH52=1000,بيانات!AE52,"")</f>
        <v/>
      </c>
    </row>
    <row r="53" ht="22" customHeight="1">
      <c r="A53" s="31">
        <f>IF(بيانات!AH53=1000,بيانات!A53,"")</f>
        <v/>
      </c>
      <c r="B53" s="32">
        <f>IF(بيانات!AH53=1000,بيانات!B53,"")</f>
        <v/>
      </c>
      <c r="C53" s="32">
        <f>IF(بيانات!AH53=1000,بيانات!C53,"")</f>
        <v/>
      </c>
      <c r="D53" s="33">
        <f>IF(بيانات!AH53=1000,بيانات!AF53,"")</f>
        <v/>
      </c>
      <c r="E53" s="33">
        <f>IF(بيانات!AH53=1000,بيانات!AH53,"")</f>
        <v/>
      </c>
      <c r="F53" s="33">
        <f>IF(بيانات!AH53=1000,بيانات!AI53,"")</f>
        <v/>
      </c>
      <c r="G53" s="31">
        <f>IF(بيانات!AH53=1000,بيانات!AE53,"")</f>
        <v/>
      </c>
    </row>
    <row r="54" ht="22" customHeight="1">
      <c r="A54" s="31">
        <f>IF(بيانات!AH54=1000,بيانات!A54,"")</f>
        <v/>
      </c>
      <c r="B54" s="32">
        <f>IF(بيانات!AH54=1000,بيانات!B54,"")</f>
        <v/>
      </c>
      <c r="C54" s="32">
        <f>IF(بيانات!AH54=1000,بيانات!C54,"")</f>
        <v/>
      </c>
      <c r="D54" s="33">
        <f>IF(بيانات!AH54=1000,بيانات!AF54,"")</f>
        <v/>
      </c>
      <c r="E54" s="33">
        <f>IF(بيانات!AH54=1000,بيانات!AH54,"")</f>
        <v/>
      </c>
      <c r="F54" s="33">
        <f>IF(بيانات!AH54=1000,بيانات!AI54,"")</f>
        <v/>
      </c>
      <c r="G54" s="31">
        <f>IF(بيانات!AH54=1000,بيانات!AE54,"")</f>
        <v/>
      </c>
    </row>
    <row r="55" ht="22" customHeight="1">
      <c r="A55" s="31">
        <f>IF(بيانات!AH55=1000,بيانات!A55,"")</f>
        <v/>
      </c>
      <c r="B55" s="32">
        <f>IF(بيانات!AH55=1000,بيانات!B55,"")</f>
        <v/>
      </c>
      <c r="C55" s="32">
        <f>IF(بيانات!AH55=1000,بيانات!C55,"")</f>
        <v/>
      </c>
      <c r="D55" s="33">
        <f>IF(بيانات!AH55=1000,بيانات!AF55,"")</f>
        <v/>
      </c>
      <c r="E55" s="33">
        <f>IF(بيانات!AH55=1000,بيانات!AH55,"")</f>
        <v/>
      </c>
      <c r="F55" s="33">
        <f>IF(بيانات!AH55=1000,بيانات!AI55,"")</f>
        <v/>
      </c>
      <c r="G55" s="31">
        <f>IF(بيانات!AH55=1000,بيانات!AE55,"")</f>
        <v/>
      </c>
    </row>
    <row r="56" ht="22" customHeight="1">
      <c r="A56" s="31">
        <f>IF(بيانات!AH56=1000,بيانات!A56,"")</f>
        <v/>
      </c>
      <c r="B56" s="32">
        <f>IF(بيانات!AH56=1000,بيانات!B56,"")</f>
        <v/>
      </c>
      <c r="C56" s="32">
        <f>IF(بيانات!AH56=1000,بيانات!C56,"")</f>
        <v/>
      </c>
      <c r="D56" s="33">
        <f>IF(بيانات!AH56=1000,بيانات!AF56,"")</f>
        <v/>
      </c>
      <c r="E56" s="33">
        <f>IF(بيانات!AH56=1000,بيانات!AH56,"")</f>
        <v/>
      </c>
      <c r="F56" s="33">
        <f>IF(بيانات!AH56=1000,بيانات!AI56,"")</f>
        <v/>
      </c>
      <c r="G56" s="31">
        <f>IF(بيانات!AH56=1000,بيانات!AE56,"")</f>
        <v/>
      </c>
    </row>
    <row r="57" ht="22" customHeight="1">
      <c r="A57" s="31">
        <f>IF(بيانات!AH57=1000,بيانات!A57,"")</f>
        <v/>
      </c>
      <c r="B57" s="32">
        <f>IF(بيانات!AH57=1000,بيانات!B57,"")</f>
        <v/>
      </c>
      <c r="C57" s="32">
        <f>IF(بيانات!AH57=1000,بيانات!C57,"")</f>
        <v/>
      </c>
      <c r="D57" s="33">
        <f>IF(بيانات!AH57=1000,بيانات!AF57,"")</f>
        <v/>
      </c>
      <c r="E57" s="33">
        <f>IF(بيانات!AH57=1000,بيانات!AH57,"")</f>
        <v/>
      </c>
      <c r="F57" s="33">
        <f>IF(بيانات!AH57=1000,بيانات!AI57,"")</f>
        <v/>
      </c>
      <c r="G57" s="31">
        <f>IF(بيانات!AH57=1000,بيانات!AE57,"")</f>
        <v/>
      </c>
    </row>
    <row r="58" ht="22" customHeight="1">
      <c r="A58" s="31">
        <f>IF(بيانات!AH58=1000,بيانات!A58,"")</f>
        <v/>
      </c>
      <c r="B58" s="32">
        <f>IF(بيانات!AH58=1000,بيانات!B58,"")</f>
        <v/>
      </c>
      <c r="C58" s="32">
        <f>IF(بيانات!AH58=1000,بيانات!C58,"")</f>
        <v/>
      </c>
      <c r="D58" s="33">
        <f>IF(بيانات!AH58=1000,بيانات!AF58,"")</f>
        <v/>
      </c>
      <c r="E58" s="33">
        <f>IF(بيانات!AH58=1000,بيانات!AH58,"")</f>
        <v/>
      </c>
      <c r="F58" s="33">
        <f>IF(بيانات!AH58=1000,بيانات!AI58,"")</f>
        <v/>
      </c>
      <c r="G58" s="31">
        <f>IF(بيانات!AH58=1000,بيانات!AE58,"")</f>
        <v/>
      </c>
    </row>
    <row r="59" ht="22" customHeight="1">
      <c r="A59" s="31">
        <f>IF(بيانات!AH59=1000,بيانات!A59,"")</f>
        <v/>
      </c>
      <c r="B59" s="32">
        <f>IF(بيانات!AH59=1000,بيانات!B59,"")</f>
        <v/>
      </c>
      <c r="C59" s="32">
        <f>IF(بيانات!AH59=1000,بيانات!C59,"")</f>
        <v/>
      </c>
      <c r="D59" s="33">
        <f>IF(بيانات!AH59=1000,بيانات!AF59,"")</f>
        <v/>
      </c>
      <c r="E59" s="33">
        <f>IF(بيانات!AH59=1000,بيانات!AH59,"")</f>
        <v/>
      </c>
      <c r="F59" s="33">
        <f>IF(بيانات!AH59=1000,بيانات!AI59,"")</f>
        <v/>
      </c>
      <c r="G59" s="31">
        <f>IF(بيانات!AH59=1000,بيانات!AE59,"")</f>
        <v/>
      </c>
    </row>
    <row r="60" ht="22" customHeight="1">
      <c r="A60" s="31">
        <f>IF(بيانات!AH60=1000,بيانات!A60,"")</f>
        <v/>
      </c>
      <c r="B60" s="32">
        <f>IF(بيانات!AH60=1000,بيانات!B60,"")</f>
        <v/>
      </c>
      <c r="C60" s="32">
        <f>IF(بيانات!AH60=1000,بيانات!C60,"")</f>
        <v/>
      </c>
      <c r="D60" s="33">
        <f>IF(بيانات!AH60=1000,بيانات!AF60,"")</f>
        <v/>
      </c>
      <c r="E60" s="33">
        <f>IF(بيانات!AH60=1000,بيانات!AH60,"")</f>
        <v/>
      </c>
      <c r="F60" s="33">
        <f>IF(بيانات!AH60=1000,بيانات!AI60,"")</f>
        <v/>
      </c>
      <c r="G60" s="31">
        <f>IF(بيانات!AH60=1000,بيانات!AE60,"")</f>
        <v/>
      </c>
    </row>
    <row r="61" ht="22" customHeight="1">
      <c r="A61" s="31">
        <f>IF(بيانات!AH61=1000,بيانات!A61,"")</f>
        <v/>
      </c>
      <c r="B61" s="32">
        <f>IF(بيانات!AH61=1000,بيانات!B61,"")</f>
        <v/>
      </c>
      <c r="C61" s="32">
        <f>IF(بيانات!AH61=1000,بيانات!C61,"")</f>
        <v/>
      </c>
      <c r="D61" s="33">
        <f>IF(بيانات!AH61=1000,بيانات!AF61,"")</f>
        <v/>
      </c>
      <c r="E61" s="33">
        <f>IF(بيانات!AH61=1000,بيانات!AH61,"")</f>
        <v/>
      </c>
      <c r="F61" s="33">
        <f>IF(بيانات!AH61=1000,بيانات!AI61,"")</f>
        <v/>
      </c>
      <c r="G61" s="31">
        <f>IF(بيانات!AH61=1000,بيانات!AE61,"")</f>
        <v/>
      </c>
    </row>
    <row r="62" ht="22" customHeight="1">
      <c r="A62" s="31">
        <f>IF(بيانات!AH62=1000,بيانات!A62,"")</f>
        <v/>
      </c>
      <c r="B62" s="32">
        <f>IF(بيانات!AH62=1000,بيانات!B62,"")</f>
        <v/>
      </c>
      <c r="C62" s="32">
        <f>IF(بيانات!AH62=1000,بيانات!C62,"")</f>
        <v/>
      </c>
      <c r="D62" s="33">
        <f>IF(بيانات!AH62=1000,بيانات!AF62,"")</f>
        <v/>
      </c>
      <c r="E62" s="33">
        <f>IF(بيانات!AH62=1000,بيانات!AH62,"")</f>
        <v/>
      </c>
      <c r="F62" s="33">
        <f>IF(بيانات!AH62=1000,بيانات!AI62,"")</f>
        <v/>
      </c>
      <c r="G62" s="31">
        <f>IF(بيانات!AH62=1000,بيانات!AE62,"")</f>
        <v/>
      </c>
    </row>
    <row r="63" ht="22" customHeight="1">
      <c r="A63" s="31">
        <f>IF(بيانات!AH63=1000,بيانات!A63,"")</f>
        <v/>
      </c>
      <c r="B63" s="32">
        <f>IF(بيانات!AH63=1000,بيانات!B63,"")</f>
        <v/>
      </c>
      <c r="C63" s="32">
        <f>IF(بيانات!AH63=1000,بيانات!C63,"")</f>
        <v/>
      </c>
      <c r="D63" s="33">
        <f>IF(بيانات!AH63=1000,بيانات!AF63,"")</f>
        <v/>
      </c>
      <c r="E63" s="33">
        <f>IF(بيانات!AH63=1000,بيانات!AH63,"")</f>
        <v/>
      </c>
      <c r="F63" s="33">
        <f>IF(بيانات!AH63=1000,بيانات!AI63,"")</f>
        <v/>
      </c>
      <c r="G63" s="31">
        <f>IF(بيانات!AH63=1000,بيانات!AE63,"")</f>
        <v/>
      </c>
    </row>
    <row r="64" ht="22" customHeight="1">
      <c r="A64" s="31">
        <f>IF(بيانات!AH64=1000,بيانات!A64,"")</f>
        <v/>
      </c>
      <c r="B64" s="32">
        <f>IF(بيانات!AH64=1000,بيانات!B64,"")</f>
        <v/>
      </c>
      <c r="C64" s="32">
        <f>IF(بيانات!AH64=1000,بيانات!C64,"")</f>
        <v/>
      </c>
      <c r="D64" s="33">
        <f>IF(بيانات!AH64=1000,بيانات!AF64,"")</f>
        <v/>
      </c>
      <c r="E64" s="33">
        <f>IF(بيانات!AH64=1000,بيانات!AH64,"")</f>
        <v/>
      </c>
      <c r="F64" s="33">
        <f>IF(بيانات!AH64=1000,بيانات!AI64,"")</f>
        <v/>
      </c>
      <c r="G64" s="31">
        <f>IF(بيانات!AH64=1000,بيانات!AE64,"")</f>
        <v/>
      </c>
    </row>
    <row r="65" ht="22" customHeight="1">
      <c r="A65" s="31">
        <f>IF(بيانات!AH65=1000,بيانات!A65,"")</f>
        <v/>
      </c>
      <c r="B65" s="32">
        <f>IF(بيانات!AH65=1000,بيانات!B65,"")</f>
        <v/>
      </c>
      <c r="C65" s="32">
        <f>IF(بيانات!AH65=1000,بيانات!C65,"")</f>
        <v/>
      </c>
      <c r="D65" s="33">
        <f>IF(بيانات!AH65=1000,بيانات!AF65,"")</f>
        <v/>
      </c>
      <c r="E65" s="33">
        <f>IF(بيانات!AH65=1000,بيانات!AH65,"")</f>
        <v/>
      </c>
      <c r="F65" s="33">
        <f>IF(بيانات!AH65=1000,بيانات!AI65,"")</f>
        <v/>
      </c>
      <c r="G65" s="31">
        <f>IF(بيانات!AH65=1000,بيانات!AE65,"")</f>
        <v/>
      </c>
    </row>
    <row r="66" ht="22" customHeight="1">
      <c r="A66" s="31">
        <f>IF(بيانات!AH66=1000,بيانات!A66,"")</f>
        <v/>
      </c>
      <c r="B66" s="32">
        <f>IF(بيانات!AH66=1000,بيانات!B66,"")</f>
        <v/>
      </c>
      <c r="C66" s="32">
        <f>IF(بيانات!AH66=1000,بيانات!C66,"")</f>
        <v/>
      </c>
      <c r="D66" s="33">
        <f>IF(بيانات!AH66=1000,بيانات!AF66,"")</f>
        <v/>
      </c>
      <c r="E66" s="33">
        <f>IF(بيانات!AH66=1000,بيانات!AH66,"")</f>
        <v/>
      </c>
      <c r="F66" s="33">
        <f>IF(بيانات!AH66=1000,بيانات!AI66,"")</f>
        <v/>
      </c>
      <c r="G66" s="31">
        <f>IF(بيانات!AH66=1000,بيانات!AE66,"")</f>
        <v/>
      </c>
    </row>
    <row r="67" ht="22" customHeight="1">
      <c r="A67" s="31">
        <f>IF(بيانات!AH67=1000,بيانات!A67,"")</f>
        <v/>
      </c>
      <c r="B67" s="32">
        <f>IF(بيانات!AH67=1000,بيانات!B67,"")</f>
        <v/>
      </c>
      <c r="C67" s="32">
        <f>IF(بيانات!AH67=1000,بيانات!C67,"")</f>
        <v/>
      </c>
      <c r="D67" s="33">
        <f>IF(بيانات!AH67=1000,بيانات!AF67,"")</f>
        <v/>
      </c>
      <c r="E67" s="33">
        <f>IF(بيانات!AH67=1000,بيانات!AH67,"")</f>
        <v/>
      </c>
      <c r="F67" s="33">
        <f>IF(بيانات!AH67=1000,بيانات!AI67,"")</f>
        <v/>
      </c>
      <c r="G67" s="31">
        <f>IF(بيانات!AH67=1000,بيانات!AE67,"")</f>
        <v/>
      </c>
    </row>
    <row r="68" ht="22" customHeight="1">
      <c r="A68" s="31">
        <f>IF(بيانات!AH68=1000,بيانات!A68,"")</f>
        <v/>
      </c>
      <c r="B68" s="32">
        <f>IF(بيانات!AH68=1000,بيانات!B68,"")</f>
        <v/>
      </c>
      <c r="C68" s="32">
        <f>IF(بيانات!AH68=1000,بيانات!C68,"")</f>
        <v/>
      </c>
      <c r="D68" s="33">
        <f>IF(بيانات!AH68=1000,بيانات!AF68,"")</f>
        <v/>
      </c>
      <c r="E68" s="33">
        <f>IF(بيانات!AH68=1000,بيانات!AH68,"")</f>
        <v/>
      </c>
      <c r="F68" s="33">
        <f>IF(بيانات!AH68=1000,بيانات!AI68,"")</f>
        <v/>
      </c>
      <c r="G68" s="31">
        <f>IF(بيانات!AH68=1000,بيانات!AE68,"")</f>
        <v/>
      </c>
    </row>
    <row r="69" ht="22" customHeight="1">
      <c r="A69" s="31">
        <f>IF(بيانات!AH69=1000,بيانات!A69,"")</f>
        <v/>
      </c>
      <c r="B69" s="32">
        <f>IF(بيانات!AH69=1000,بيانات!B69,"")</f>
        <v/>
      </c>
      <c r="C69" s="32">
        <f>IF(بيانات!AH69=1000,بيانات!C69,"")</f>
        <v/>
      </c>
      <c r="D69" s="33">
        <f>IF(بيانات!AH69=1000,بيانات!AF69,"")</f>
        <v/>
      </c>
      <c r="E69" s="33">
        <f>IF(بيانات!AH69=1000,بيانات!AH69,"")</f>
        <v/>
      </c>
      <c r="F69" s="33">
        <f>IF(بيانات!AH69=1000,بيانات!AI69,"")</f>
        <v/>
      </c>
      <c r="G69" s="31">
        <f>IF(بيانات!AH69=1000,بيانات!AE69,"")</f>
        <v/>
      </c>
    </row>
    <row r="70" ht="22" customHeight="1">
      <c r="A70" s="31">
        <f>IF(بيانات!AH70=1000,بيانات!A70,"")</f>
        <v/>
      </c>
      <c r="B70" s="32">
        <f>IF(بيانات!AH70=1000,بيانات!B70,"")</f>
        <v/>
      </c>
      <c r="C70" s="32">
        <f>IF(بيانات!AH70=1000,بيانات!C70,"")</f>
        <v/>
      </c>
      <c r="D70" s="33">
        <f>IF(بيانات!AH70=1000,بيانات!AF70,"")</f>
        <v/>
      </c>
      <c r="E70" s="33">
        <f>IF(بيانات!AH70=1000,بيانات!AH70,"")</f>
        <v/>
      </c>
      <c r="F70" s="33">
        <f>IF(بيانات!AH70=1000,بيانات!AI70,"")</f>
        <v/>
      </c>
      <c r="G70" s="31">
        <f>IF(بيانات!AH70=1000,بيانات!AE70,"")</f>
        <v/>
      </c>
    </row>
    <row r="71" ht="22" customHeight="1">
      <c r="A71" s="31">
        <f>IF(بيانات!AH71=1000,بيانات!A71,"")</f>
        <v/>
      </c>
      <c r="B71" s="32">
        <f>IF(بيانات!AH71=1000,بيانات!B71,"")</f>
        <v/>
      </c>
      <c r="C71" s="32">
        <f>IF(بيانات!AH71=1000,بيانات!C71,"")</f>
        <v/>
      </c>
      <c r="D71" s="33">
        <f>IF(بيانات!AH71=1000,بيانات!AF71,"")</f>
        <v/>
      </c>
      <c r="E71" s="33">
        <f>IF(بيانات!AH71=1000,بيانات!AH71,"")</f>
        <v/>
      </c>
      <c r="F71" s="33">
        <f>IF(بيانات!AH71=1000,بيانات!AI71,"")</f>
        <v/>
      </c>
      <c r="G71" s="31">
        <f>IF(بيانات!AH71=1000,بيانات!AE71,"")</f>
        <v/>
      </c>
    </row>
    <row r="72" ht="22" customHeight="1">
      <c r="A72" s="31">
        <f>IF(بيانات!AH72=1000,بيانات!A72,"")</f>
        <v/>
      </c>
      <c r="B72" s="32">
        <f>IF(بيانات!AH72=1000,بيانات!B72,"")</f>
        <v/>
      </c>
      <c r="C72" s="32">
        <f>IF(بيانات!AH72=1000,بيانات!C72,"")</f>
        <v/>
      </c>
      <c r="D72" s="33">
        <f>IF(بيانات!AH72=1000,بيانات!AF72,"")</f>
        <v/>
      </c>
      <c r="E72" s="33">
        <f>IF(بيانات!AH72=1000,بيانات!AH72,"")</f>
        <v/>
      </c>
      <c r="F72" s="33">
        <f>IF(بيانات!AH72=1000,بيانات!AI72,"")</f>
        <v/>
      </c>
      <c r="G72" s="31">
        <f>IF(بيانات!AH72=1000,بيانات!AE72,"")</f>
        <v/>
      </c>
    </row>
    <row r="73" ht="22" customHeight="1">
      <c r="A73" s="31">
        <f>IF(بيانات!AH73=1000,بيانات!A73,"")</f>
        <v/>
      </c>
      <c r="B73" s="32">
        <f>IF(بيانات!AH73=1000,بيانات!B73,"")</f>
        <v/>
      </c>
      <c r="C73" s="32">
        <f>IF(بيانات!AH73=1000,بيانات!C73,"")</f>
        <v/>
      </c>
      <c r="D73" s="33">
        <f>IF(بيانات!AH73=1000,بيانات!AF73,"")</f>
        <v/>
      </c>
      <c r="E73" s="33">
        <f>IF(بيانات!AH73=1000,بيانات!AH73,"")</f>
        <v/>
      </c>
      <c r="F73" s="33">
        <f>IF(بيانات!AH73=1000,بيانات!AI73,"")</f>
        <v/>
      </c>
      <c r="G73" s="31">
        <f>IF(بيانات!AH73=1000,بيانات!AE73,"")</f>
        <v/>
      </c>
    </row>
    <row r="74" ht="22" customHeight="1">
      <c r="A74" s="31">
        <f>IF(بيانات!AH74=1000,بيانات!A74,"")</f>
        <v/>
      </c>
      <c r="B74" s="32">
        <f>IF(بيانات!AH74=1000,بيانات!B74,"")</f>
        <v/>
      </c>
      <c r="C74" s="32">
        <f>IF(بيانات!AH74=1000,بيانات!C74,"")</f>
        <v/>
      </c>
      <c r="D74" s="33">
        <f>IF(بيانات!AH74=1000,بيانات!AF74,"")</f>
        <v/>
      </c>
      <c r="E74" s="33">
        <f>IF(بيانات!AH74=1000,بيانات!AH74,"")</f>
        <v/>
      </c>
      <c r="F74" s="33">
        <f>IF(بيانات!AH74=1000,بيانات!AI74,"")</f>
        <v/>
      </c>
      <c r="G74" s="31">
        <f>IF(بيانات!AH74=1000,بيانات!AE74,"")</f>
        <v/>
      </c>
    </row>
    <row r="75" ht="22" customHeight="1">
      <c r="A75" s="31">
        <f>IF(بيانات!AH75=1000,بيانات!A75,"")</f>
        <v/>
      </c>
      <c r="B75" s="32">
        <f>IF(بيانات!AH75=1000,بيانات!B75,"")</f>
        <v/>
      </c>
      <c r="C75" s="32">
        <f>IF(بيانات!AH75=1000,بيانات!C75,"")</f>
        <v/>
      </c>
      <c r="D75" s="33">
        <f>IF(بيانات!AH75=1000,بيانات!AF75,"")</f>
        <v/>
      </c>
      <c r="E75" s="33">
        <f>IF(بيانات!AH75=1000,بيانات!AH75,"")</f>
        <v/>
      </c>
      <c r="F75" s="33">
        <f>IF(بيانات!AH75=1000,بيانات!AI75,"")</f>
        <v/>
      </c>
      <c r="G75" s="31">
        <f>IF(بيانات!AH75=1000,بيانات!AE75,"")</f>
        <v/>
      </c>
    </row>
    <row r="76" ht="22" customHeight="1">
      <c r="A76" s="31">
        <f>IF(بيانات!AH76=1000,بيانات!A76,"")</f>
        <v/>
      </c>
      <c r="B76" s="32">
        <f>IF(بيانات!AH76=1000,بيانات!B76,"")</f>
        <v/>
      </c>
      <c r="C76" s="32">
        <f>IF(بيانات!AH76=1000,بيانات!C76,"")</f>
        <v/>
      </c>
      <c r="D76" s="33">
        <f>IF(بيانات!AH76=1000,بيانات!AF76,"")</f>
        <v/>
      </c>
      <c r="E76" s="33">
        <f>IF(بيانات!AH76=1000,بيانات!AH76,"")</f>
        <v/>
      </c>
      <c r="F76" s="33">
        <f>IF(بيانات!AH76=1000,بيانات!AI76,"")</f>
        <v/>
      </c>
      <c r="G76" s="31">
        <f>IF(بيانات!AH76=1000,بيانات!AE76,"")</f>
        <v/>
      </c>
    </row>
    <row r="77" ht="22" customHeight="1">
      <c r="A77" s="31">
        <f>IF(بيانات!AH77=1000,بيانات!A77,"")</f>
        <v/>
      </c>
      <c r="B77" s="32">
        <f>IF(بيانات!AH77=1000,بيانات!B77,"")</f>
        <v/>
      </c>
      <c r="C77" s="32">
        <f>IF(بيانات!AH77=1000,بيانات!C77,"")</f>
        <v/>
      </c>
      <c r="D77" s="33">
        <f>IF(بيانات!AH77=1000,بيانات!AF77,"")</f>
        <v/>
      </c>
      <c r="E77" s="33">
        <f>IF(بيانات!AH77=1000,بيانات!AH77,"")</f>
        <v/>
      </c>
      <c r="F77" s="33">
        <f>IF(بيانات!AH77=1000,بيانات!AI77,"")</f>
        <v/>
      </c>
      <c r="G77" s="31">
        <f>IF(بيانات!AH77=1000,بيانات!AE77,"")</f>
        <v/>
      </c>
    </row>
    <row r="78" ht="22" customHeight="1">
      <c r="A78" s="31">
        <f>IF(بيانات!AH78=1000,بيانات!A78,"")</f>
        <v/>
      </c>
      <c r="B78" s="32">
        <f>IF(بيانات!AH78=1000,بيانات!B78,"")</f>
        <v/>
      </c>
      <c r="C78" s="32">
        <f>IF(بيانات!AH78=1000,بيانات!C78,"")</f>
        <v/>
      </c>
      <c r="D78" s="33">
        <f>IF(بيانات!AH78=1000,بيانات!AF78,"")</f>
        <v/>
      </c>
      <c r="E78" s="33">
        <f>IF(بيانات!AH78=1000,بيانات!AH78,"")</f>
        <v/>
      </c>
      <c r="F78" s="33">
        <f>IF(بيانات!AH78=1000,بيانات!AI78,"")</f>
        <v/>
      </c>
      <c r="G78" s="31">
        <f>IF(بيانات!AH78=1000,بيانات!AE78,"")</f>
        <v/>
      </c>
    </row>
    <row r="79" ht="22" customHeight="1">
      <c r="A79" s="31">
        <f>IF(بيانات!AH79=1000,بيانات!A79,"")</f>
        <v/>
      </c>
      <c r="B79" s="32">
        <f>IF(بيانات!AH79=1000,بيانات!B79,"")</f>
        <v/>
      </c>
      <c r="C79" s="32">
        <f>IF(بيانات!AH79=1000,بيانات!C79,"")</f>
        <v/>
      </c>
      <c r="D79" s="33">
        <f>IF(بيانات!AH79=1000,بيانات!AF79,"")</f>
        <v/>
      </c>
      <c r="E79" s="33">
        <f>IF(بيانات!AH79=1000,بيانات!AH79,"")</f>
        <v/>
      </c>
      <c r="F79" s="33">
        <f>IF(بيانات!AH79=1000,بيانات!AI79,"")</f>
        <v/>
      </c>
      <c r="G79" s="31">
        <f>IF(بيانات!AH79=1000,بيانات!AE79,"")</f>
        <v/>
      </c>
    </row>
    <row r="80" ht="22" customHeight="1">
      <c r="A80" s="31">
        <f>IF(بيانات!AH80=1000,بيانات!A80,"")</f>
        <v/>
      </c>
      <c r="B80" s="32">
        <f>IF(بيانات!AH80=1000,بيانات!B80,"")</f>
        <v/>
      </c>
      <c r="C80" s="32">
        <f>IF(بيانات!AH80=1000,بيانات!C80,"")</f>
        <v/>
      </c>
      <c r="D80" s="33">
        <f>IF(بيانات!AH80=1000,بيانات!AF80,"")</f>
        <v/>
      </c>
      <c r="E80" s="33">
        <f>IF(بيانات!AH80=1000,بيانات!AH80,"")</f>
        <v/>
      </c>
      <c r="F80" s="33">
        <f>IF(بيانات!AH80=1000,بيانات!AI80,"")</f>
        <v/>
      </c>
      <c r="G80" s="31">
        <f>IF(بيانات!AH80=1000,بيانات!AE80,"")</f>
        <v/>
      </c>
    </row>
    <row r="81" ht="22" customHeight="1">
      <c r="A81" s="31">
        <f>IF(بيانات!AH81=1000,بيانات!A81,"")</f>
        <v/>
      </c>
      <c r="B81" s="32">
        <f>IF(بيانات!AH81=1000,بيانات!B81,"")</f>
        <v/>
      </c>
      <c r="C81" s="32">
        <f>IF(بيانات!AH81=1000,بيانات!C81,"")</f>
        <v/>
      </c>
      <c r="D81" s="33">
        <f>IF(بيانات!AH81=1000,بيانات!AF81,"")</f>
        <v/>
      </c>
      <c r="E81" s="33">
        <f>IF(بيانات!AH81=1000,بيانات!AH81,"")</f>
        <v/>
      </c>
      <c r="F81" s="33">
        <f>IF(بيانات!AH81=1000,بيانات!AI81,"")</f>
        <v/>
      </c>
      <c r="G81" s="31">
        <f>IF(بيانات!AH81=1000,بيانات!AE81,"")</f>
        <v/>
      </c>
    </row>
    <row r="82" ht="22" customHeight="1">
      <c r="A82" s="31">
        <f>IF(بيانات!AH82=1000,بيانات!A82,"")</f>
        <v/>
      </c>
      <c r="B82" s="32">
        <f>IF(بيانات!AH82=1000,بيانات!B82,"")</f>
        <v/>
      </c>
      <c r="C82" s="32">
        <f>IF(بيانات!AH82=1000,بيانات!C82,"")</f>
        <v/>
      </c>
      <c r="D82" s="33">
        <f>IF(بيانات!AH82=1000,بيانات!AF82,"")</f>
        <v/>
      </c>
      <c r="E82" s="33">
        <f>IF(بيانات!AH82=1000,بيانات!AH82,"")</f>
        <v/>
      </c>
      <c r="F82" s="33">
        <f>IF(بيانات!AH82=1000,بيانات!AI82,"")</f>
        <v/>
      </c>
      <c r="G82" s="31">
        <f>IF(بيانات!AH82=1000,بيانات!AE82,"")</f>
        <v/>
      </c>
    </row>
    <row r="83" ht="22" customHeight="1">
      <c r="A83" s="31">
        <f>IF(بيانات!AH83=1000,بيانات!A83,"")</f>
        <v/>
      </c>
      <c r="B83" s="32">
        <f>IF(بيانات!AH83=1000,بيانات!B83,"")</f>
        <v/>
      </c>
      <c r="C83" s="32">
        <f>IF(بيانات!AH83=1000,بيانات!C83,"")</f>
        <v/>
      </c>
      <c r="D83" s="33">
        <f>IF(بيانات!AH83=1000,بيانات!AF83,"")</f>
        <v/>
      </c>
      <c r="E83" s="33">
        <f>IF(بيانات!AH83=1000,بيانات!AH83,"")</f>
        <v/>
      </c>
      <c r="F83" s="33">
        <f>IF(بيانات!AH83=1000,بيانات!AI83,"")</f>
        <v/>
      </c>
      <c r="G83" s="31">
        <f>IF(بيانات!AH83=1000,بيانات!AE83,"")</f>
        <v/>
      </c>
    </row>
    <row r="84" ht="22" customHeight="1">
      <c r="A84" s="31">
        <f>IF(بيانات!AH84=1000,بيانات!A84,"")</f>
        <v/>
      </c>
      <c r="B84" s="32">
        <f>IF(بيانات!AH84=1000,بيانات!B84,"")</f>
        <v/>
      </c>
      <c r="C84" s="32">
        <f>IF(بيانات!AH84=1000,بيانات!C84,"")</f>
        <v/>
      </c>
      <c r="D84" s="33">
        <f>IF(بيانات!AH84=1000,بيانات!AF84,"")</f>
        <v/>
      </c>
      <c r="E84" s="33">
        <f>IF(بيانات!AH84=1000,بيانات!AH84,"")</f>
        <v/>
      </c>
      <c r="F84" s="33">
        <f>IF(بيانات!AH84=1000,بيانات!AI84,"")</f>
        <v/>
      </c>
      <c r="G84" s="31">
        <f>IF(بيانات!AH84=1000,بيانات!AE84,"")</f>
        <v/>
      </c>
    </row>
    <row r="85" ht="22" customHeight="1">
      <c r="A85" s="31">
        <f>IF(بيانات!AH85=1000,بيانات!A85,"")</f>
        <v/>
      </c>
      <c r="B85" s="32">
        <f>IF(بيانات!AH85=1000,بيانات!B85,"")</f>
        <v/>
      </c>
      <c r="C85" s="32">
        <f>IF(بيانات!AH85=1000,بيانات!C85,"")</f>
        <v/>
      </c>
      <c r="D85" s="33">
        <f>IF(بيانات!AH85=1000,بيانات!AF85,"")</f>
        <v/>
      </c>
      <c r="E85" s="33">
        <f>IF(بيانات!AH85=1000,بيانات!AH85,"")</f>
        <v/>
      </c>
      <c r="F85" s="33">
        <f>IF(بيانات!AH85=1000,بيانات!AI85,"")</f>
        <v/>
      </c>
      <c r="G85" s="31">
        <f>IF(بيانات!AH85=1000,بيانات!AE85,"")</f>
        <v/>
      </c>
    </row>
    <row r="86" ht="22" customHeight="1">
      <c r="A86" s="31">
        <f>IF(بيانات!AH86=1000,بيانات!A86,"")</f>
        <v/>
      </c>
      <c r="B86" s="32">
        <f>IF(بيانات!AH86=1000,بيانات!B86,"")</f>
        <v/>
      </c>
      <c r="C86" s="32">
        <f>IF(بيانات!AH86=1000,بيانات!C86,"")</f>
        <v/>
      </c>
      <c r="D86" s="33">
        <f>IF(بيانات!AH86=1000,بيانات!AF86,"")</f>
        <v/>
      </c>
      <c r="E86" s="33">
        <f>IF(بيانات!AH86=1000,بيانات!AH86,"")</f>
        <v/>
      </c>
      <c r="F86" s="33">
        <f>IF(بيانات!AH86=1000,بيانات!AI86,"")</f>
        <v/>
      </c>
      <c r="G86" s="31">
        <f>IF(بيانات!AH86=1000,بيانات!AE86,"")</f>
        <v/>
      </c>
    </row>
    <row r="87" ht="22" customHeight="1">
      <c r="A87" s="31">
        <f>IF(بيانات!AH87=1000,بيانات!A87,"")</f>
        <v/>
      </c>
      <c r="B87" s="32">
        <f>IF(بيانات!AH87=1000,بيانات!B87,"")</f>
        <v/>
      </c>
      <c r="C87" s="32">
        <f>IF(بيانات!AH87=1000,بيانات!C87,"")</f>
        <v/>
      </c>
      <c r="D87" s="33">
        <f>IF(بيانات!AH87=1000,بيانات!AF87,"")</f>
        <v/>
      </c>
      <c r="E87" s="33">
        <f>IF(بيانات!AH87=1000,بيانات!AH87,"")</f>
        <v/>
      </c>
      <c r="F87" s="33">
        <f>IF(بيانات!AH87=1000,بيانات!AI87,"")</f>
        <v/>
      </c>
      <c r="G87" s="31">
        <f>IF(بيانات!AH87=1000,بيانات!AE87,"")</f>
        <v/>
      </c>
    </row>
    <row r="88" ht="22" customHeight="1">
      <c r="A88" s="31">
        <f>IF(بيانات!AH88=1000,بيانات!A88,"")</f>
        <v/>
      </c>
      <c r="B88" s="32">
        <f>IF(بيانات!AH88=1000,بيانات!B88,"")</f>
        <v/>
      </c>
      <c r="C88" s="32">
        <f>IF(بيانات!AH88=1000,بيانات!C88,"")</f>
        <v/>
      </c>
      <c r="D88" s="33">
        <f>IF(بيانات!AH88=1000,بيانات!AF88,"")</f>
        <v/>
      </c>
      <c r="E88" s="33">
        <f>IF(بيانات!AH88=1000,بيانات!AH88,"")</f>
        <v/>
      </c>
      <c r="F88" s="33">
        <f>IF(بيانات!AH88=1000,بيانات!AI88,"")</f>
        <v/>
      </c>
      <c r="G88" s="31">
        <f>IF(بيانات!AH88=1000,بيانات!AE88,"")</f>
        <v/>
      </c>
    </row>
    <row r="89" ht="22" customHeight="1">
      <c r="A89" s="31">
        <f>IF(بيانات!AH89=1000,بيانات!A89,"")</f>
        <v/>
      </c>
      <c r="B89" s="32">
        <f>IF(بيانات!AH89=1000,بيانات!B89,"")</f>
        <v/>
      </c>
      <c r="C89" s="32">
        <f>IF(بيانات!AH89=1000,بيانات!C89,"")</f>
        <v/>
      </c>
      <c r="D89" s="33">
        <f>IF(بيانات!AH89=1000,بيانات!AF89,"")</f>
        <v/>
      </c>
      <c r="E89" s="33">
        <f>IF(بيانات!AH89=1000,بيانات!AH89,"")</f>
        <v/>
      </c>
      <c r="F89" s="33">
        <f>IF(بيانات!AH89=1000,بيانات!AI89,"")</f>
        <v/>
      </c>
      <c r="G89" s="31">
        <f>IF(بيانات!AH89=1000,بيانات!AE89,"")</f>
        <v/>
      </c>
    </row>
    <row r="90" ht="22" customHeight="1">
      <c r="A90" s="31">
        <f>IF(بيانات!AH90=1000,بيانات!A90,"")</f>
        <v/>
      </c>
      <c r="B90" s="32">
        <f>IF(بيانات!AH90=1000,بيانات!B90,"")</f>
        <v/>
      </c>
      <c r="C90" s="32">
        <f>IF(بيانات!AH90=1000,بيانات!C90,"")</f>
        <v/>
      </c>
      <c r="D90" s="33">
        <f>IF(بيانات!AH90=1000,بيانات!AF90,"")</f>
        <v/>
      </c>
      <c r="E90" s="33">
        <f>IF(بيانات!AH90=1000,بيانات!AH90,"")</f>
        <v/>
      </c>
      <c r="F90" s="33">
        <f>IF(بيانات!AH90=1000,بيانات!AI90,"")</f>
        <v/>
      </c>
      <c r="G90" s="31">
        <f>IF(بيانات!AH90=1000,بيانات!AE90,"")</f>
        <v/>
      </c>
    </row>
    <row r="91" ht="22" customHeight="1">
      <c r="A91" s="31">
        <f>IF(بيانات!AH91=1000,بيانات!A91,"")</f>
        <v/>
      </c>
      <c r="B91" s="32">
        <f>IF(بيانات!AH91=1000,بيانات!B91,"")</f>
        <v/>
      </c>
      <c r="C91" s="32">
        <f>IF(بيانات!AH91=1000,بيانات!C91,"")</f>
        <v/>
      </c>
      <c r="D91" s="33">
        <f>IF(بيانات!AH91=1000,بيانات!AF91,"")</f>
        <v/>
      </c>
      <c r="E91" s="33">
        <f>IF(بيانات!AH91=1000,بيانات!AH91,"")</f>
        <v/>
      </c>
      <c r="F91" s="33">
        <f>IF(بيانات!AH91=1000,بيانات!AI91,"")</f>
        <v/>
      </c>
      <c r="G91" s="31">
        <f>IF(بيانات!AH91=1000,بيانات!AE91,"")</f>
        <v/>
      </c>
    </row>
    <row r="92" ht="22" customHeight="1">
      <c r="A92" s="31">
        <f>IF(بيانات!AH92=1000,بيانات!A92,"")</f>
        <v/>
      </c>
      <c r="B92" s="32">
        <f>IF(بيانات!AH92=1000,بيانات!B92,"")</f>
        <v/>
      </c>
      <c r="C92" s="32">
        <f>IF(بيانات!AH92=1000,بيانات!C92,"")</f>
        <v/>
      </c>
      <c r="D92" s="33">
        <f>IF(بيانات!AH92=1000,بيانات!AF92,"")</f>
        <v/>
      </c>
      <c r="E92" s="33">
        <f>IF(بيانات!AH92=1000,بيانات!AH92,"")</f>
        <v/>
      </c>
      <c r="F92" s="33">
        <f>IF(بيانات!AH92=1000,بيانات!AI92,"")</f>
        <v/>
      </c>
      <c r="G92" s="31">
        <f>IF(بيانات!AH92=1000,بيانات!AE92,"")</f>
        <v/>
      </c>
    </row>
    <row r="93" ht="22" customHeight="1">
      <c r="A93" s="31">
        <f>IF(بيانات!AH93=1000,بيانات!A93,"")</f>
        <v/>
      </c>
      <c r="B93" s="32">
        <f>IF(بيانات!AH93=1000,بيانات!B93,"")</f>
        <v/>
      </c>
      <c r="C93" s="32">
        <f>IF(بيانات!AH93=1000,بيانات!C93,"")</f>
        <v/>
      </c>
      <c r="D93" s="33">
        <f>IF(بيانات!AH93=1000,بيانات!AF93,"")</f>
        <v/>
      </c>
      <c r="E93" s="33">
        <f>IF(بيانات!AH93=1000,بيانات!AH93,"")</f>
        <v/>
      </c>
      <c r="F93" s="33">
        <f>IF(بيانات!AH93=1000,بيانات!AI93,"")</f>
        <v/>
      </c>
      <c r="G93" s="31">
        <f>IF(بيانات!AH93=1000,بيانات!AE93,"")</f>
        <v/>
      </c>
    </row>
    <row r="94" ht="22" customHeight="1">
      <c r="A94" s="31">
        <f>IF(بيانات!AH94=1000,بيانات!A94,"")</f>
        <v/>
      </c>
      <c r="B94" s="32">
        <f>IF(بيانات!AH94=1000,بيانات!B94,"")</f>
        <v/>
      </c>
      <c r="C94" s="32">
        <f>IF(بيانات!AH94=1000,بيانات!C94,"")</f>
        <v/>
      </c>
      <c r="D94" s="33">
        <f>IF(بيانات!AH94=1000,بيانات!AF94,"")</f>
        <v/>
      </c>
      <c r="E94" s="33">
        <f>IF(بيانات!AH94=1000,بيانات!AH94,"")</f>
        <v/>
      </c>
      <c r="F94" s="33">
        <f>IF(بيانات!AH94=1000,بيانات!AI94,"")</f>
        <v/>
      </c>
      <c r="G94" s="31">
        <f>IF(بيانات!AH94=1000,بيانات!AE94,"")</f>
        <v/>
      </c>
    </row>
    <row r="95" ht="22" customHeight="1">
      <c r="A95" s="31">
        <f>IF(بيانات!AH95=1000,بيانات!A95,"")</f>
        <v/>
      </c>
      <c r="B95" s="32">
        <f>IF(بيانات!AH95=1000,بيانات!B95,"")</f>
        <v/>
      </c>
      <c r="C95" s="32">
        <f>IF(بيانات!AH95=1000,بيانات!C95,"")</f>
        <v/>
      </c>
      <c r="D95" s="33">
        <f>IF(بيانات!AH95=1000,بيانات!AF95,"")</f>
        <v/>
      </c>
      <c r="E95" s="33">
        <f>IF(بيانات!AH95=1000,بيانات!AH95,"")</f>
        <v/>
      </c>
      <c r="F95" s="33">
        <f>IF(بيانات!AH95=1000,بيانات!AI95,"")</f>
        <v/>
      </c>
      <c r="G95" s="31">
        <f>IF(بيانات!AH95=1000,بيانات!AE95,"")</f>
        <v/>
      </c>
    </row>
    <row r="96" ht="22" customHeight="1">
      <c r="A96" s="31">
        <f>IF(بيانات!AH96=1000,بيانات!A96,"")</f>
        <v/>
      </c>
      <c r="B96" s="32">
        <f>IF(بيانات!AH96=1000,بيانات!B96,"")</f>
        <v/>
      </c>
      <c r="C96" s="32">
        <f>IF(بيانات!AH96=1000,بيانات!C96,"")</f>
        <v/>
      </c>
      <c r="D96" s="33">
        <f>IF(بيانات!AH96=1000,بيانات!AF96,"")</f>
        <v/>
      </c>
      <c r="E96" s="33">
        <f>IF(بيانات!AH96=1000,بيانات!AH96,"")</f>
        <v/>
      </c>
      <c r="F96" s="33">
        <f>IF(بيانات!AH96=1000,بيانات!AI96,"")</f>
        <v/>
      </c>
      <c r="G96" s="31">
        <f>IF(بيانات!AH96=1000,بيانات!AE96,"")</f>
        <v/>
      </c>
    </row>
    <row r="97" ht="22" customHeight="1">
      <c r="A97" s="31">
        <f>IF(بيانات!AH97=1000,بيانات!A97,"")</f>
        <v/>
      </c>
      <c r="B97" s="32">
        <f>IF(بيانات!AH97=1000,بيانات!B97,"")</f>
        <v/>
      </c>
      <c r="C97" s="32">
        <f>IF(بيانات!AH97=1000,بيانات!C97,"")</f>
        <v/>
      </c>
      <c r="D97" s="33">
        <f>IF(بيانات!AH97=1000,بيانات!AF97,"")</f>
        <v/>
      </c>
      <c r="E97" s="33">
        <f>IF(بيانات!AH97=1000,بيانات!AH97,"")</f>
        <v/>
      </c>
      <c r="F97" s="33">
        <f>IF(بيانات!AH97=1000,بيانات!AI97,"")</f>
        <v/>
      </c>
      <c r="G97" s="31">
        <f>IF(بيانات!AH97=1000,بيانات!AE97,"")</f>
        <v/>
      </c>
    </row>
    <row r="98" ht="22" customHeight="1">
      <c r="A98" s="31">
        <f>IF(بيانات!AH98=1000,بيانات!A98,"")</f>
        <v/>
      </c>
      <c r="B98" s="32">
        <f>IF(بيانات!AH98=1000,بيانات!B98,"")</f>
        <v/>
      </c>
      <c r="C98" s="32">
        <f>IF(بيانات!AH98=1000,بيانات!C98,"")</f>
        <v/>
      </c>
      <c r="D98" s="33">
        <f>IF(بيانات!AH98=1000,بيانات!AF98,"")</f>
        <v/>
      </c>
      <c r="E98" s="33">
        <f>IF(بيانات!AH98=1000,بيانات!AH98,"")</f>
        <v/>
      </c>
      <c r="F98" s="33">
        <f>IF(بيانات!AH98=1000,بيانات!AI98,"")</f>
        <v/>
      </c>
      <c r="G98" s="31">
        <f>IF(بيانات!AH98=1000,بيانات!AE98,"")</f>
        <v/>
      </c>
    </row>
    <row r="99" ht="22" customHeight="1">
      <c r="A99" s="31">
        <f>IF(بيانات!AH99=1000,بيانات!A99,"")</f>
        <v/>
      </c>
      <c r="B99" s="32">
        <f>IF(بيانات!AH99=1000,بيانات!B99,"")</f>
        <v/>
      </c>
      <c r="C99" s="32">
        <f>IF(بيانات!AH99=1000,بيانات!C99,"")</f>
        <v/>
      </c>
      <c r="D99" s="33">
        <f>IF(بيانات!AH99=1000,بيانات!AF99,"")</f>
        <v/>
      </c>
      <c r="E99" s="33">
        <f>IF(بيانات!AH99=1000,بيانات!AH99,"")</f>
        <v/>
      </c>
      <c r="F99" s="33">
        <f>IF(بيانات!AH99=1000,بيانات!AI99,"")</f>
        <v/>
      </c>
      <c r="G99" s="31">
        <f>IF(بيانات!AH99=1000,بيانات!AE99,"")</f>
        <v/>
      </c>
    </row>
    <row r="100" ht="22" customHeight="1">
      <c r="A100" s="31">
        <f>IF(بيانات!AH100=1000,بيانات!A100,"")</f>
        <v/>
      </c>
      <c r="B100" s="32">
        <f>IF(بيانات!AH100=1000,بيانات!B100,"")</f>
        <v/>
      </c>
      <c r="C100" s="32">
        <f>IF(بيانات!AH100=1000,بيانات!C100,"")</f>
        <v/>
      </c>
      <c r="D100" s="33">
        <f>IF(بيانات!AH100=1000,بيانات!AF100,"")</f>
        <v/>
      </c>
      <c r="E100" s="33">
        <f>IF(بيانات!AH100=1000,بيانات!AH100,"")</f>
        <v/>
      </c>
      <c r="F100" s="33">
        <f>IF(بيانات!AH100=1000,بيانات!AI100,"")</f>
        <v/>
      </c>
      <c r="G100" s="31">
        <f>IF(بيانات!AH100=1000,بيانات!AE100,"")</f>
        <v/>
      </c>
    </row>
    <row r="101" ht="22" customHeight="1">
      <c r="A101" s="31">
        <f>IF(بيانات!AH101=1000,بيانات!A101,"")</f>
        <v/>
      </c>
      <c r="B101" s="32">
        <f>IF(بيانات!AH101=1000,بيانات!B101,"")</f>
        <v/>
      </c>
      <c r="C101" s="32">
        <f>IF(بيانات!AH101=1000,بيانات!C101,"")</f>
        <v/>
      </c>
      <c r="D101" s="33">
        <f>IF(بيانات!AH101=1000,بيانات!AF101,"")</f>
        <v/>
      </c>
      <c r="E101" s="33">
        <f>IF(بيانات!AH101=1000,بيانات!AH101,"")</f>
        <v/>
      </c>
      <c r="F101" s="33">
        <f>IF(بيانات!AH101=1000,بيانات!AI101,"")</f>
        <v/>
      </c>
      <c r="G101" s="31">
        <f>IF(بيانات!AH101=1000,بيانات!AE101,"")</f>
        <v/>
      </c>
    </row>
    <row r="102" ht="22" customHeight="1">
      <c r="A102" s="31">
        <f>IF(بيانات!AH102=1000,بيانات!A102,"")</f>
        <v/>
      </c>
      <c r="B102" s="32">
        <f>IF(بيانات!AH102=1000,بيانات!B102,"")</f>
        <v/>
      </c>
      <c r="C102" s="32">
        <f>IF(بيانات!AH102=1000,بيانات!C102,"")</f>
        <v/>
      </c>
      <c r="D102" s="33">
        <f>IF(بيانات!AH102=1000,بيانات!AF102,"")</f>
        <v/>
      </c>
      <c r="E102" s="33">
        <f>IF(بيانات!AH102=1000,بيانات!AH102,"")</f>
        <v/>
      </c>
      <c r="F102" s="33">
        <f>IF(بيانات!AH102=1000,بيانات!AI102,"")</f>
        <v/>
      </c>
      <c r="G102" s="31">
        <f>IF(بيانات!AH102=1000,بيانات!AE102,"")</f>
        <v/>
      </c>
    </row>
    <row r="103" ht="22" customHeight="1">
      <c r="A103" s="31">
        <f>IF(بيانات!AH103=1000,بيانات!A103,"")</f>
        <v/>
      </c>
      <c r="B103" s="32">
        <f>IF(بيانات!AH103=1000,بيانات!B103,"")</f>
        <v/>
      </c>
      <c r="C103" s="32">
        <f>IF(بيانات!AH103=1000,بيانات!C103,"")</f>
        <v/>
      </c>
      <c r="D103" s="33">
        <f>IF(بيانات!AH103=1000,بيانات!AF103,"")</f>
        <v/>
      </c>
      <c r="E103" s="33">
        <f>IF(بيانات!AH103=1000,بيانات!AH103,"")</f>
        <v/>
      </c>
      <c r="F103" s="33">
        <f>IF(بيانات!AH103=1000,بيانات!AI103,"")</f>
        <v/>
      </c>
      <c r="G103" s="31">
        <f>IF(بيانات!AH103=1000,بيانات!AE103,"")</f>
        <v/>
      </c>
    </row>
    <row r="104" ht="22" customHeight="1">
      <c r="A104" s="31">
        <f>IF(بيانات!AH104=1000,بيانات!A104,"")</f>
        <v/>
      </c>
      <c r="B104" s="32">
        <f>IF(بيانات!AH104=1000,بيانات!B104,"")</f>
        <v/>
      </c>
      <c r="C104" s="32">
        <f>IF(بيانات!AH104=1000,بيانات!C104,"")</f>
        <v/>
      </c>
      <c r="D104" s="33">
        <f>IF(بيانات!AH104=1000,بيانات!AF104,"")</f>
        <v/>
      </c>
      <c r="E104" s="33">
        <f>IF(بيانات!AH104=1000,بيانات!AH104,"")</f>
        <v/>
      </c>
      <c r="F104" s="33">
        <f>IF(بيانات!AH104=1000,بيانات!AI104,"")</f>
        <v/>
      </c>
      <c r="G104" s="31">
        <f>IF(بيانات!AH104=1000,بيانات!AE104,"")</f>
        <v/>
      </c>
    </row>
    <row r="105" ht="22" customHeight="1">
      <c r="A105" s="31">
        <f>IF(بيانات!AH105=1000,بيانات!A105,"")</f>
        <v/>
      </c>
      <c r="B105" s="32">
        <f>IF(بيانات!AH105=1000,بيانات!B105,"")</f>
        <v/>
      </c>
      <c r="C105" s="32">
        <f>IF(بيانات!AH105=1000,بيانات!C105,"")</f>
        <v/>
      </c>
      <c r="D105" s="33">
        <f>IF(بيانات!AH105=1000,بيانات!AF105,"")</f>
        <v/>
      </c>
      <c r="E105" s="33">
        <f>IF(بيانات!AH105=1000,بيانات!AH105,"")</f>
        <v/>
      </c>
      <c r="F105" s="33">
        <f>IF(بيانات!AH105=1000,بيانات!AI105,"")</f>
        <v/>
      </c>
      <c r="G105" s="31">
        <f>IF(بيانات!AH105=1000,بيانات!AE105,"")</f>
        <v/>
      </c>
    </row>
    <row r="106" ht="22" customHeight="1">
      <c r="A106" s="31">
        <f>IF(بيانات!AH106=1000,بيانات!A106,"")</f>
        <v/>
      </c>
      <c r="B106" s="32">
        <f>IF(بيانات!AH106=1000,بيانات!B106,"")</f>
        <v/>
      </c>
      <c r="C106" s="32">
        <f>IF(بيانات!AH106=1000,بيانات!C106,"")</f>
        <v/>
      </c>
      <c r="D106" s="33">
        <f>IF(بيانات!AH106=1000,بيانات!AF106,"")</f>
        <v/>
      </c>
      <c r="E106" s="33">
        <f>IF(بيانات!AH106=1000,بيانات!AH106,"")</f>
        <v/>
      </c>
      <c r="F106" s="33">
        <f>IF(بيانات!AH106=1000,بيانات!AI106,"")</f>
        <v/>
      </c>
      <c r="G106" s="31">
        <f>IF(بيانات!AH106=1000,بيانات!AE106,"")</f>
        <v/>
      </c>
    </row>
    <row r="107" ht="22" customHeight="1">
      <c r="A107" s="31">
        <f>IF(بيانات!AH107=1000,بيانات!A107,"")</f>
        <v/>
      </c>
      <c r="B107" s="32">
        <f>IF(بيانات!AH107=1000,بيانات!B107,"")</f>
        <v/>
      </c>
      <c r="C107" s="32">
        <f>IF(بيانات!AH107=1000,بيانات!C107,"")</f>
        <v/>
      </c>
      <c r="D107" s="33">
        <f>IF(بيانات!AH107=1000,بيانات!AF107,"")</f>
        <v/>
      </c>
      <c r="E107" s="33">
        <f>IF(بيانات!AH107=1000,بيانات!AH107,"")</f>
        <v/>
      </c>
      <c r="F107" s="33">
        <f>IF(بيانات!AH107=1000,بيانات!AI107,"")</f>
        <v/>
      </c>
      <c r="G107" s="31">
        <f>IF(بيانات!AH107=1000,بيانات!AE107,"")</f>
        <v/>
      </c>
    </row>
    <row r="108" ht="22" customHeight="1">
      <c r="A108" s="31">
        <f>IF(بيانات!AH108=1000,بيانات!A108,"")</f>
        <v/>
      </c>
      <c r="B108" s="32">
        <f>IF(بيانات!AH108=1000,بيانات!B108,"")</f>
        <v/>
      </c>
      <c r="C108" s="32">
        <f>IF(بيانات!AH108=1000,بيانات!C108,"")</f>
        <v/>
      </c>
      <c r="D108" s="33">
        <f>IF(بيانات!AH108=1000,بيانات!AF108,"")</f>
        <v/>
      </c>
      <c r="E108" s="33">
        <f>IF(بيانات!AH108=1000,بيانات!AH108,"")</f>
        <v/>
      </c>
      <c r="F108" s="33">
        <f>IF(بيانات!AH108=1000,بيانات!AI108,"")</f>
        <v/>
      </c>
      <c r="G108" s="31">
        <f>IF(بيانات!AH108=1000,بيانات!AE108,"")</f>
        <v/>
      </c>
    </row>
    <row r="109" ht="22" customHeight="1">
      <c r="A109" s="31">
        <f>IF(بيانات!AH109=1000,بيانات!A109,"")</f>
        <v/>
      </c>
      <c r="B109" s="32">
        <f>IF(بيانات!AH109=1000,بيانات!B109,"")</f>
        <v/>
      </c>
      <c r="C109" s="32">
        <f>IF(بيانات!AH109=1000,بيانات!C109,"")</f>
        <v/>
      </c>
      <c r="D109" s="33">
        <f>IF(بيانات!AH109=1000,بيانات!AF109,"")</f>
        <v/>
      </c>
      <c r="E109" s="33">
        <f>IF(بيانات!AH109=1000,بيانات!AH109,"")</f>
        <v/>
      </c>
      <c r="F109" s="33">
        <f>IF(بيانات!AH109=1000,بيانات!AI109,"")</f>
        <v/>
      </c>
      <c r="G109" s="31">
        <f>IF(بيانات!AH109=1000,بيانات!AE109,"")</f>
        <v/>
      </c>
    </row>
    <row r="110" ht="22" customHeight="1">
      <c r="A110" s="31">
        <f>IF(بيانات!AH110=1000,بيانات!A110,"")</f>
        <v/>
      </c>
      <c r="B110" s="32">
        <f>IF(بيانات!AH110=1000,بيانات!B110,"")</f>
        <v/>
      </c>
      <c r="C110" s="32">
        <f>IF(بيانات!AH110=1000,بيانات!C110,"")</f>
        <v/>
      </c>
      <c r="D110" s="33">
        <f>IF(بيانات!AH110=1000,بيانات!AF110,"")</f>
        <v/>
      </c>
      <c r="E110" s="33">
        <f>IF(بيانات!AH110=1000,بيانات!AH110,"")</f>
        <v/>
      </c>
      <c r="F110" s="33">
        <f>IF(بيانات!AH110=1000,بيانات!AI110,"")</f>
        <v/>
      </c>
      <c r="G110" s="31">
        <f>IF(بيانات!AH110=1000,بيانات!AE110,"")</f>
        <v/>
      </c>
    </row>
    <row r="111" ht="22" customHeight="1">
      <c r="A111" s="31">
        <f>IF(بيانات!AH111=1000,بيانات!A111,"")</f>
        <v/>
      </c>
      <c r="B111" s="32">
        <f>IF(بيانات!AH111=1000,بيانات!B111,"")</f>
        <v/>
      </c>
      <c r="C111" s="32">
        <f>IF(بيانات!AH111=1000,بيانات!C111,"")</f>
        <v/>
      </c>
      <c r="D111" s="33">
        <f>IF(بيانات!AH111=1000,بيانات!AF111,"")</f>
        <v/>
      </c>
      <c r="E111" s="33">
        <f>IF(بيانات!AH111=1000,بيانات!AH111,"")</f>
        <v/>
      </c>
      <c r="F111" s="33">
        <f>IF(بيانات!AH111=1000,بيانات!AI111,"")</f>
        <v/>
      </c>
      <c r="G111" s="31">
        <f>IF(بيانات!AH111=1000,بيانات!AE111,"")</f>
        <v/>
      </c>
    </row>
    <row r="112" ht="22" customHeight="1">
      <c r="A112" s="31">
        <f>IF(بيانات!AH112=1000,بيانات!A112,"")</f>
        <v/>
      </c>
      <c r="B112" s="32">
        <f>IF(بيانات!AH112=1000,بيانات!B112,"")</f>
        <v/>
      </c>
      <c r="C112" s="32">
        <f>IF(بيانات!AH112=1000,بيانات!C112,"")</f>
        <v/>
      </c>
      <c r="D112" s="33">
        <f>IF(بيانات!AH112=1000,بيانات!AF112,"")</f>
        <v/>
      </c>
      <c r="E112" s="33">
        <f>IF(بيانات!AH112=1000,بيانات!AH112,"")</f>
        <v/>
      </c>
      <c r="F112" s="33">
        <f>IF(بيانات!AH112=1000,بيانات!AI112,"")</f>
        <v/>
      </c>
      <c r="G112" s="31">
        <f>IF(بيانات!AH112=1000,بيانات!AE112,"")</f>
        <v/>
      </c>
    </row>
    <row r="113" ht="22" customHeight="1">
      <c r="A113" s="31">
        <f>IF(بيانات!AH113=1000,بيانات!A113,"")</f>
        <v/>
      </c>
      <c r="B113" s="32">
        <f>IF(بيانات!AH113=1000,بيانات!B113,"")</f>
        <v/>
      </c>
      <c r="C113" s="32">
        <f>IF(بيانات!AH113=1000,بيانات!C113,"")</f>
        <v/>
      </c>
      <c r="D113" s="33">
        <f>IF(بيانات!AH113=1000,بيانات!AF113,"")</f>
        <v/>
      </c>
      <c r="E113" s="33">
        <f>IF(بيانات!AH113=1000,بيانات!AH113,"")</f>
        <v/>
      </c>
      <c r="F113" s="33">
        <f>IF(بيانات!AH113=1000,بيانات!AI113,"")</f>
        <v/>
      </c>
      <c r="G113" s="31">
        <f>IF(بيانات!AH113=1000,بيانات!AE113,"")</f>
        <v/>
      </c>
    </row>
    <row r="114" ht="22" customHeight="1">
      <c r="A114" s="31">
        <f>IF(بيانات!AH114=1000,بيانات!A114,"")</f>
        <v/>
      </c>
      <c r="B114" s="32">
        <f>IF(بيانات!AH114=1000,بيانات!B114,"")</f>
        <v/>
      </c>
      <c r="C114" s="32">
        <f>IF(بيانات!AH114=1000,بيانات!C114,"")</f>
        <v/>
      </c>
      <c r="D114" s="33">
        <f>IF(بيانات!AH114=1000,بيانات!AF114,"")</f>
        <v/>
      </c>
      <c r="E114" s="33">
        <f>IF(بيانات!AH114=1000,بيانات!AH114,"")</f>
        <v/>
      </c>
      <c r="F114" s="33">
        <f>IF(بيانات!AH114=1000,بيانات!AI114,"")</f>
        <v/>
      </c>
      <c r="G114" s="31">
        <f>IF(بيانات!AH114=1000,بيانات!AE114,"")</f>
        <v/>
      </c>
    </row>
    <row r="115" ht="22" customHeight="1">
      <c r="A115" s="31">
        <f>IF(بيانات!AH115=1000,بيانات!A115,"")</f>
        <v/>
      </c>
      <c r="B115" s="32">
        <f>IF(بيانات!AH115=1000,بيانات!B115,"")</f>
        <v/>
      </c>
      <c r="C115" s="32">
        <f>IF(بيانات!AH115=1000,بيانات!C115,"")</f>
        <v/>
      </c>
      <c r="D115" s="33">
        <f>IF(بيانات!AH115=1000,بيانات!AF115,"")</f>
        <v/>
      </c>
      <c r="E115" s="33">
        <f>IF(بيانات!AH115=1000,بيانات!AH115,"")</f>
        <v/>
      </c>
      <c r="F115" s="33">
        <f>IF(بيانات!AH115=1000,بيانات!AI115,"")</f>
        <v/>
      </c>
      <c r="G115" s="31">
        <f>IF(بيانات!AH115=1000,بيانات!AE115,"")</f>
        <v/>
      </c>
    </row>
    <row r="116" ht="22" customHeight="1">
      <c r="A116" s="31">
        <f>IF(بيانات!AH116=1000,بيانات!A116,"")</f>
        <v/>
      </c>
      <c r="B116" s="32">
        <f>IF(بيانات!AH116=1000,بيانات!B116,"")</f>
        <v/>
      </c>
      <c r="C116" s="32">
        <f>IF(بيانات!AH116=1000,بيانات!C116,"")</f>
        <v/>
      </c>
      <c r="D116" s="33">
        <f>IF(بيانات!AH116=1000,بيانات!AF116,"")</f>
        <v/>
      </c>
      <c r="E116" s="33">
        <f>IF(بيانات!AH116=1000,بيانات!AH116,"")</f>
        <v/>
      </c>
      <c r="F116" s="33">
        <f>IF(بيانات!AH116=1000,بيانات!AI116,"")</f>
        <v/>
      </c>
      <c r="G116" s="31">
        <f>IF(بيانات!AH116=1000,بيانات!AE116,"")</f>
        <v/>
      </c>
    </row>
    <row r="117" ht="22" customHeight="1">
      <c r="A117" s="31">
        <f>IF(بيانات!AH117=1000,بيانات!A117,"")</f>
        <v/>
      </c>
      <c r="B117" s="32">
        <f>IF(بيانات!AH117=1000,بيانات!B117,"")</f>
        <v/>
      </c>
      <c r="C117" s="32">
        <f>IF(بيانات!AH117=1000,بيانات!C117,"")</f>
        <v/>
      </c>
      <c r="D117" s="33">
        <f>IF(بيانات!AH117=1000,بيانات!AF117,"")</f>
        <v/>
      </c>
      <c r="E117" s="33">
        <f>IF(بيانات!AH117=1000,بيانات!AH117,"")</f>
        <v/>
      </c>
      <c r="F117" s="33">
        <f>IF(بيانات!AH117=1000,بيانات!AI117,"")</f>
        <v/>
      </c>
      <c r="G117" s="31">
        <f>IF(بيانات!AH117=1000,بيانات!AE117,"")</f>
        <v/>
      </c>
    </row>
    <row r="118" ht="22" customHeight="1">
      <c r="A118" s="31">
        <f>IF(بيانات!AH118=1000,بيانات!A118,"")</f>
        <v/>
      </c>
      <c r="B118" s="32">
        <f>IF(بيانات!AH118=1000,بيانات!B118,"")</f>
        <v/>
      </c>
      <c r="C118" s="32">
        <f>IF(بيانات!AH118=1000,بيانات!C118,"")</f>
        <v/>
      </c>
      <c r="D118" s="33">
        <f>IF(بيانات!AH118=1000,بيانات!AF118,"")</f>
        <v/>
      </c>
      <c r="E118" s="33">
        <f>IF(بيانات!AH118=1000,بيانات!AH118,"")</f>
        <v/>
      </c>
      <c r="F118" s="33">
        <f>IF(بيانات!AH118=1000,بيانات!AI118,"")</f>
        <v/>
      </c>
      <c r="G118" s="31">
        <f>IF(بيانات!AH118=1000,بيانات!AE118,"")</f>
        <v/>
      </c>
    </row>
    <row r="119" ht="22" customHeight="1">
      <c r="A119" s="31">
        <f>IF(بيانات!AH119=1000,بيانات!A119,"")</f>
        <v/>
      </c>
      <c r="B119" s="32">
        <f>IF(بيانات!AH119=1000,بيانات!B119,"")</f>
        <v/>
      </c>
      <c r="C119" s="32">
        <f>IF(بيانات!AH119=1000,بيانات!C119,"")</f>
        <v/>
      </c>
      <c r="D119" s="33">
        <f>IF(بيانات!AH119=1000,بيانات!AF119,"")</f>
        <v/>
      </c>
      <c r="E119" s="33">
        <f>IF(بيانات!AH119=1000,بيانات!AH119,"")</f>
        <v/>
      </c>
      <c r="F119" s="33">
        <f>IF(بيانات!AH119=1000,بيانات!AI119,"")</f>
        <v/>
      </c>
      <c r="G119" s="31">
        <f>IF(بيانات!AH119=1000,بيانات!AE119,"")</f>
        <v/>
      </c>
    </row>
    <row r="120" ht="22" customHeight="1">
      <c r="A120" s="31">
        <f>IF(بيانات!AH120=1000,بيانات!A120,"")</f>
        <v/>
      </c>
      <c r="B120" s="32">
        <f>IF(بيانات!AH120=1000,بيانات!B120,"")</f>
        <v/>
      </c>
      <c r="C120" s="32">
        <f>IF(بيانات!AH120=1000,بيانات!C120,"")</f>
        <v/>
      </c>
      <c r="D120" s="33">
        <f>IF(بيانات!AH120=1000,بيانات!AF120,"")</f>
        <v/>
      </c>
      <c r="E120" s="33">
        <f>IF(بيانات!AH120=1000,بيانات!AH120,"")</f>
        <v/>
      </c>
      <c r="F120" s="33">
        <f>IF(بيانات!AH120=1000,بيانات!AI120,"")</f>
        <v/>
      </c>
      <c r="G120" s="31">
        <f>IF(بيانات!AH120=1000,بيانات!AE120,"")</f>
        <v/>
      </c>
    </row>
    <row r="121" ht="22" customHeight="1">
      <c r="A121" s="31">
        <f>IF(بيانات!AH121=1000,بيانات!A121,"")</f>
        <v/>
      </c>
      <c r="B121" s="32">
        <f>IF(بيانات!AH121=1000,بيانات!B121,"")</f>
        <v/>
      </c>
      <c r="C121" s="32">
        <f>IF(بيانات!AH121=1000,بيانات!C121,"")</f>
        <v/>
      </c>
      <c r="D121" s="33">
        <f>IF(بيانات!AH121=1000,بيانات!AF121,"")</f>
        <v/>
      </c>
      <c r="E121" s="33">
        <f>IF(بيانات!AH121=1000,بيانات!AH121,"")</f>
        <v/>
      </c>
      <c r="F121" s="33">
        <f>IF(بيانات!AH121=1000,بيانات!AI121,"")</f>
        <v/>
      </c>
      <c r="G121" s="31">
        <f>IF(بيانات!AH121=1000,بيانات!AE121,"")</f>
        <v/>
      </c>
    </row>
    <row r="122" ht="22" customHeight="1">
      <c r="A122" s="31">
        <f>IF(بيانات!AH122=1000,بيانات!A122,"")</f>
        <v/>
      </c>
      <c r="B122" s="32">
        <f>IF(بيانات!AH122=1000,بيانات!B122,"")</f>
        <v/>
      </c>
      <c r="C122" s="32">
        <f>IF(بيانات!AH122=1000,بيانات!C122,"")</f>
        <v/>
      </c>
      <c r="D122" s="33">
        <f>IF(بيانات!AH122=1000,بيانات!AF122,"")</f>
        <v/>
      </c>
      <c r="E122" s="33">
        <f>IF(بيانات!AH122=1000,بيانات!AH122,"")</f>
        <v/>
      </c>
      <c r="F122" s="33">
        <f>IF(بيانات!AH122=1000,بيانات!AI122,"")</f>
        <v/>
      </c>
      <c r="G122" s="31">
        <f>IF(بيانات!AH122=1000,بيانات!AE122,"")</f>
        <v/>
      </c>
    </row>
    <row r="123" ht="22" customHeight="1">
      <c r="A123" s="31">
        <f>IF(بيانات!AH123=1000,بيانات!A123,"")</f>
        <v/>
      </c>
      <c r="B123" s="32">
        <f>IF(بيانات!AH123=1000,بيانات!B123,"")</f>
        <v/>
      </c>
      <c r="C123" s="32">
        <f>IF(بيانات!AH123=1000,بيانات!C123,"")</f>
        <v/>
      </c>
      <c r="D123" s="33">
        <f>IF(بيانات!AH123=1000,بيانات!AF123,"")</f>
        <v/>
      </c>
      <c r="E123" s="33">
        <f>IF(بيانات!AH123=1000,بيانات!AH123,"")</f>
        <v/>
      </c>
      <c r="F123" s="33">
        <f>IF(بيانات!AH123=1000,بيانات!AI123,"")</f>
        <v/>
      </c>
      <c r="G123" s="31">
        <f>IF(بيانات!AH123=1000,بيانات!AE123,"")</f>
        <v/>
      </c>
    </row>
    <row r="124" ht="22" customHeight="1">
      <c r="A124" s="31">
        <f>IF(بيانات!AH124=1000,بيانات!A124,"")</f>
        <v/>
      </c>
      <c r="B124" s="32">
        <f>IF(بيانات!AH124=1000,بيانات!B124,"")</f>
        <v/>
      </c>
      <c r="C124" s="32">
        <f>IF(بيانات!AH124=1000,بيانات!C124,"")</f>
        <v/>
      </c>
      <c r="D124" s="33">
        <f>IF(بيانات!AH124=1000,بيانات!AF124,"")</f>
        <v/>
      </c>
      <c r="E124" s="33">
        <f>IF(بيانات!AH124=1000,بيانات!AH124,"")</f>
        <v/>
      </c>
      <c r="F124" s="33">
        <f>IF(بيانات!AH124=1000,بيانات!AI124,"")</f>
        <v/>
      </c>
      <c r="G124" s="31">
        <f>IF(بيانات!AH124=1000,بيانات!AE124,"")</f>
        <v/>
      </c>
    </row>
    <row r="125" ht="22" customHeight="1">
      <c r="A125" s="31">
        <f>IF(بيانات!AH125=1000,بيانات!A125,"")</f>
        <v/>
      </c>
      <c r="B125" s="32">
        <f>IF(بيانات!AH125=1000,بيانات!B125,"")</f>
        <v/>
      </c>
      <c r="C125" s="32">
        <f>IF(بيانات!AH125=1000,بيانات!C125,"")</f>
        <v/>
      </c>
      <c r="D125" s="33">
        <f>IF(بيانات!AH125=1000,بيانات!AF125,"")</f>
        <v/>
      </c>
      <c r="E125" s="33">
        <f>IF(بيانات!AH125=1000,بيانات!AH125,"")</f>
        <v/>
      </c>
      <c r="F125" s="33">
        <f>IF(بيانات!AH125=1000,بيانات!AI125,"")</f>
        <v/>
      </c>
      <c r="G125" s="31">
        <f>IF(بيانات!AH125=1000,بيانات!AE125,"")</f>
        <v/>
      </c>
    </row>
    <row r="126" ht="22" customHeight="1">
      <c r="A126" s="31">
        <f>IF(بيانات!AH126=1000,بيانات!A126,"")</f>
        <v/>
      </c>
      <c r="B126" s="32">
        <f>IF(بيانات!AH126=1000,بيانات!B126,"")</f>
        <v/>
      </c>
      <c r="C126" s="32">
        <f>IF(بيانات!AH126=1000,بيانات!C126,"")</f>
        <v/>
      </c>
      <c r="D126" s="33">
        <f>IF(بيانات!AH126=1000,بيانات!AF126,"")</f>
        <v/>
      </c>
      <c r="E126" s="33">
        <f>IF(بيانات!AH126=1000,بيانات!AH126,"")</f>
        <v/>
      </c>
      <c r="F126" s="33">
        <f>IF(بيانات!AH126=1000,بيانات!AI126,"")</f>
        <v/>
      </c>
      <c r="G126" s="31">
        <f>IF(بيانات!AH126=1000,بيانات!AE126,"")</f>
        <v/>
      </c>
    </row>
    <row r="127" ht="22" customHeight="1">
      <c r="A127" s="31">
        <f>IF(بيانات!AH127=1000,بيانات!A127,"")</f>
        <v/>
      </c>
      <c r="B127" s="32">
        <f>IF(بيانات!AH127=1000,بيانات!B127,"")</f>
        <v/>
      </c>
      <c r="C127" s="32">
        <f>IF(بيانات!AH127=1000,بيانات!C127,"")</f>
        <v/>
      </c>
      <c r="D127" s="33">
        <f>IF(بيانات!AH127=1000,بيانات!AF127,"")</f>
        <v/>
      </c>
      <c r="E127" s="33">
        <f>IF(بيانات!AH127=1000,بيانات!AH127,"")</f>
        <v/>
      </c>
      <c r="F127" s="33">
        <f>IF(بيانات!AH127=1000,بيانات!AI127,"")</f>
        <v/>
      </c>
      <c r="G127" s="31">
        <f>IF(بيانات!AH127=1000,بيانات!AE127,"")</f>
        <v/>
      </c>
    </row>
    <row r="128" ht="22" customHeight="1">
      <c r="A128" s="31">
        <f>IF(بيانات!AH128=1000,بيانات!A128,"")</f>
        <v/>
      </c>
      <c r="B128" s="32">
        <f>IF(بيانات!AH128=1000,بيانات!B128,"")</f>
        <v/>
      </c>
      <c r="C128" s="32">
        <f>IF(بيانات!AH128=1000,بيانات!C128,"")</f>
        <v/>
      </c>
      <c r="D128" s="33">
        <f>IF(بيانات!AH128=1000,بيانات!AF128,"")</f>
        <v/>
      </c>
      <c r="E128" s="33">
        <f>IF(بيانات!AH128=1000,بيانات!AH128,"")</f>
        <v/>
      </c>
      <c r="F128" s="33">
        <f>IF(بيانات!AH128=1000,بيانات!AI128,"")</f>
        <v/>
      </c>
      <c r="G128" s="31">
        <f>IF(بيانات!AH128=1000,بيانات!AE128,"")</f>
        <v/>
      </c>
    </row>
    <row r="129" ht="22" customHeight="1">
      <c r="A129" s="31">
        <f>IF(بيانات!AH129=1000,بيانات!A129,"")</f>
        <v/>
      </c>
      <c r="B129" s="32">
        <f>IF(بيانات!AH129=1000,بيانات!B129,"")</f>
        <v/>
      </c>
      <c r="C129" s="32">
        <f>IF(بيانات!AH129=1000,بيانات!C129,"")</f>
        <v/>
      </c>
      <c r="D129" s="33">
        <f>IF(بيانات!AH129=1000,بيانات!AF129,"")</f>
        <v/>
      </c>
      <c r="E129" s="33">
        <f>IF(بيانات!AH129=1000,بيانات!AH129,"")</f>
        <v/>
      </c>
      <c r="F129" s="33">
        <f>IF(بيانات!AH129=1000,بيانات!AI129,"")</f>
        <v/>
      </c>
      <c r="G129" s="31">
        <f>IF(بيانات!AH129=1000,بيانات!AE129,"")</f>
        <v/>
      </c>
    </row>
    <row r="130" ht="22" customHeight="1">
      <c r="A130" s="31">
        <f>IF(بيانات!AH130=1000,بيانات!A130,"")</f>
        <v/>
      </c>
      <c r="B130" s="32">
        <f>IF(بيانات!AH130=1000,بيانات!B130,"")</f>
        <v/>
      </c>
      <c r="C130" s="32">
        <f>IF(بيانات!AH130=1000,بيانات!C130,"")</f>
        <v/>
      </c>
      <c r="D130" s="33">
        <f>IF(بيانات!AH130=1000,بيانات!AF130,"")</f>
        <v/>
      </c>
      <c r="E130" s="33">
        <f>IF(بيانات!AH130=1000,بيانات!AH130,"")</f>
        <v/>
      </c>
      <c r="F130" s="33">
        <f>IF(بيانات!AH130=1000,بيانات!AI130,"")</f>
        <v/>
      </c>
      <c r="G130" s="31">
        <f>IF(بيانات!AH130=1000,بيانات!AE130,"")</f>
        <v/>
      </c>
    </row>
    <row r="131" ht="22" customHeight="1">
      <c r="A131" s="31">
        <f>IF(بيانات!AH131=1000,بيانات!A131,"")</f>
        <v/>
      </c>
      <c r="B131" s="32">
        <f>IF(بيانات!AH131=1000,بيانات!B131,"")</f>
        <v/>
      </c>
      <c r="C131" s="32">
        <f>IF(بيانات!AH131=1000,بيانات!C131,"")</f>
        <v/>
      </c>
      <c r="D131" s="33">
        <f>IF(بيانات!AH131=1000,بيانات!AF131,"")</f>
        <v/>
      </c>
      <c r="E131" s="33">
        <f>IF(بيانات!AH131=1000,بيانات!AH131,"")</f>
        <v/>
      </c>
      <c r="F131" s="33">
        <f>IF(بيانات!AH131=1000,بيانات!AI131,"")</f>
        <v/>
      </c>
      <c r="G131" s="31">
        <f>IF(بيانات!AH131=1000,بيانات!AE131,"")</f>
        <v/>
      </c>
    </row>
    <row r="132" ht="22" customHeight="1">
      <c r="A132" s="31">
        <f>IF(بيانات!AH132=1000,بيانات!A132,"")</f>
        <v/>
      </c>
      <c r="B132" s="32">
        <f>IF(بيانات!AH132=1000,بيانات!B132,"")</f>
        <v/>
      </c>
      <c r="C132" s="32">
        <f>IF(بيانات!AH132=1000,بيانات!C132,"")</f>
        <v/>
      </c>
      <c r="D132" s="33">
        <f>IF(بيانات!AH132=1000,بيانات!AF132,"")</f>
        <v/>
      </c>
      <c r="E132" s="33">
        <f>IF(بيانات!AH132=1000,بيانات!AH132,"")</f>
        <v/>
      </c>
      <c r="F132" s="33">
        <f>IF(بيانات!AH132=1000,بيانات!AI132,"")</f>
        <v/>
      </c>
      <c r="G132" s="31">
        <f>IF(بيانات!AH132=1000,بيانات!AE132,"")</f>
        <v/>
      </c>
    </row>
    <row r="133" ht="22" customHeight="1">
      <c r="A133" s="31">
        <f>IF(بيانات!AH133=1000,بيانات!A133,"")</f>
        <v/>
      </c>
      <c r="B133" s="32">
        <f>IF(بيانات!AH133=1000,بيانات!B133,"")</f>
        <v/>
      </c>
      <c r="C133" s="32">
        <f>IF(بيانات!AH133=1000,بيانات!C133,"")</f>
        <v/>
      </c>
      <c r="D133" s="33">
        <f>IF(بيانات!AH133=1000,بيانات!AF133,"")</f>
        <v/>
      </c>
      <c r="E133" s="33">
        <f>IF(بيانات!AH133=1000,بيانات!AH133,"")</f>
        <v/>
      </c>
      <c r="F133" s="33">
        <f>IF(بيانات!AH133=1000,بيانات!AI133,"")</f>
        <v/>
      </c>
      <c r="G133" s="31">
        <f>IF(بيانات!AH133=1000,بيانات!AE133,"")</f>
        <v/>
      </c>
    </row>
    <row r="134" ht="22" customHeight="1">
      <c r="A134" s="31">
        <f>IF(بيانات!AH134=1000,بيانات!A134,"")</f>
        <v/>
      </c>
      <c r="B134" s="32">
        <f>IF(بيانات!AH134=1000,بيانات!B134,"")</f>
        <v/>
      </c>
      <c r="C134" s="32">
        <f>IF(بيانات!AH134=1000,بيانات!C134,"")</f>
        <v/>
      </c>
      <c r="D134" s="33">
        <f>IF(بيانات!AH134=1000,بيانات!AF134,"")</f>
        <v/>
      </c>
      <c r="E134" s="33">
        <f>IF(بيانات!AH134=1000,بيانات!AH134,"")</f>
        <v/>
      </c>
      <c r="F134" s="33">
        <f>IF(بيانات!AH134=1000,بيانات!AI134,"")</f>
        <v/>
      </c>
      <c r="G134" s="31">
        <f>IF(بيانات!AH134=1000,بيانات!AE134,"")</f>
        <v/>
      </c>
    </row>
    <row r="135" ht="22" customHeight="1">
      <c r="A135" s="31">
        <f>IF(بيانات!AH135=1000,بيانات!A135,"")</f>
        <v/>
      </c>
      <c r="B135" s="32">
        <f>IF(بيانات!AH135=1000,بيانات!B135,"")</f>
        <v/>
      </c>
      <c r="C135" s="32">
        <f>IF(بيانات!AH135=1000,بيانات!C135,"")</f>
        <v/>
      </c>
      <c r="D135" s="33">
        <f>IF(بيانات!AH135=1000,بيانات!AF135,"")</f>
        <v/>
      </c>
      <c r="E135" s="33">
        <f>IF(بيانات!AH135=1000,بيانات!AH135,"")</f>
        <v/>
      </c>
      <c r="F135" s="33">
        <f>IF(بيانات!AH135=1000,بيانات!AI135,"")</f>
        <v/>
      </c>
      <c r="G135" s="31">
        <f>IF(بيانات!AH135=1000,بيانات!AE135,"")</f>
        <v/>
      </c>
    </row>
    <row r="136" ht="22" customHeight="1">
      <c r="A136" s="31">
        <f>IF(بيانات!AH136=1000,بيانات!A136,"")</f>
        <v/>
      </c>
      <c r="B136" s="32">
        <f>IF(بيانات!AH136=1000,بيانات!B136,"")</f>
        <v/>
      </c>
      <c r="C136" s="32">
        <f>IF(بيانات!AH136=1000,بيانات!C136,"")</f>
        <v/>
      </c>
      <c r="D136" s="33">
        <f>IF(بيانات!AH136=1000,بيانات!AF136,"")</f>
        <v/>
      </c>
      <c r="E136" s="33">
        <f>IF(بيانات!AH136=1000,بيانات!AH136,"")</f>
        <v/>
      </c>
      <c r="F136" s="33">
        <f>IF(بيانات!AH136=1000,بيانات!AI136,"")</f>
        <v/>
      </c>
      <c r="G136" s="31">
        <f>IF(بيانات!AH136=1000,بيانات!AE136,"")</f>
        <v/>
      </c>
    </row>
    <row r="137" ht="22" customHeight="1">
      <c r="A137" s="31">
        <f>IF(بيانات!AH137=1000,بيانات!A137,"")</f>
        <v/>
      </c>
      <c r="B137" s="32">
        <f>IF(بيانات!AH137=1000,بيانات!B137,"")</f>
        <v/>
      </c>
      <c r="C137" s="32">
        <f>IF(بيانات!AH137=1000,بيانات!C137,"")</f>
        <v/>
      </c>
      <c r="D137" s="33">
        <f>IF(بيانات!AH137=1000,بيانات!AF137,"")</f>
        <v/>
      </c>
      <c r="E137" s="33">
        <f>IF(بيانات!AH137=1000,بيانات!AH137,"")</f>
        <v/>
      </c>
      <c r="F137" s="33">
        <f>IF(بيانات!AH137=1000,بيانات!AI137,"")</f>
        <v/>
      </c>
      <c r="G137" s="31">
        <f>IF(بيانات!AH137=1000,بيانات!AE137,"")</f>
        <v/>
      </c>
    </row>
    <row r="138" ht="22" customHeight="1">
      <c r="A138" s="31">
        <f>IF(بيانات!AH138=1000,بيانات!A138,"")</f>
        <v/>
      </c>
      <c r="B138" s="32">
        <f>IF(بيانات!AH138=1000,بيانات!B138,"")</f>
        <v/>
      </c>
      <c r="C138" s="32">
        <f>IF(بيانات!AH138=1000,بيانات!C138,"")</f>
        <v/>
      </c>
      <c r="D138" s="33">
        <f>IF(بيانات!AH138=1000,بيانات!AF138,"")</f>
        <v/>
      </c>
      <c r="E138" s="33">
        <f>IF(بيانات!AH138=1000,بيانات!AH138,"")</f>
        <v/>
      </c>
      <c r="F138" s="33">
        <f>IF(بيانات!AH138=1000,بيانات!AI138,"")</f>
        <v/>
      </c>
      <c r="G138" s="31">
        <f>IF(بيانات!AH138=1000,بيانات!AE138,"")</f>
        <v/>
      </c>
    </row>
    <row r="139" ht="22" customHeight="1">
      <c r="A139" s="31">
        <f>IF(بيانات!AH139=1000,بيانات!A139,"")</f>
        <v/>
      </c>
      <c r="B139" s="32">
        <f>IF(بيانات!AH139=1000,بيانات!B139,"")</f>
        <v/>
      </c>
      <c r="C139" s="32">
        <f>IF(بيانات!AH139=1000,بيانات!C139,"")</f>
        <v/>
      </c>
      <c r="D139" s="33">
        <f>IF(بيانات!AH139=1000,بيانات!AF139,"")</f>
        <v/>
      </c>
      <c r="E139" s="33">
        <f>IF(بيانات!AH139=1000,بيانات!AH139,"")</f>
        <v/>
      </c>
      <c r="F139" s="33">
        <f>IF(بيانات!AH139=1000,بيانات!AI139,"")</f>
        <v/>
      </c>
      <c r="G139" s="31">
        <f>IF(بيانات!AH139=1000,بيانات!AE139,"")</f>
        <v/>
      </c>
    </row>
    <row r="140" ht="22" customHeight="1">
      <c r="A140" s="31">
        <f>IF(بيانات!AH140=1000,بيانات!A140,"")</f>
        <v/>
      </c>
      <c r="B140" s="32">
        <f>IF(بيانات!AH140=1000,بيانات!B140,"")</f>
        <v/>
      </c>
      <c r="C140" s="32">
        <f>IF(بيانات!AH140=1000,بيانات!C140,"")</f>
        <v/>
      </c>
      <c r="D140" s="33">
        <f>IF(بيانات!AH140=1000,بيانات!AF140,"")</f>
        <v/>
      </c>
      <c r="E140" s="33">
        <f>IF(بيانات!AH140=1000,بيانات!AH140,"")</f>
        <v/>
      </c>
      <c r="F140" s="33">
        <f>IF(بيانات!AH140=1000,بيانات!AI140,"")</f>
        <v/>
      </c>
      <c r="G140" s="31">
        <f>IF(بيانات!AH140=1000,بيانات!AE140,"")</f>
        <v/>
      </c>
    </row>
    <row r="141" ht="22" customHeight="1">
      <c r="A141" s="31">
        <f>IF(بيانات!AH141=1000,بيانات!A141,"")</f>
        <v/>
      </c>
      <c r="B141" s="32">
        <f>IF(بيانات!AH141=1000,بيانات!B141,"")</f>
        <v/>
      </c>
      <c r="C141" s="32">
        <f>IF(بيانات!AH141=1000,بيانات!C141,"")</f>
        <v/>
      </c>
      <c r="D141" s="33">
        <f>IF(بيانات!AH141=1000,بيانات!AF141,"")</f>
        <v/>
      </c>
      <c r="E141" s="33">
        <f>IF(بيانات!AH141=1000,بيانات!AH141,"")</f>
        <v/>
      </c>
      <c r="F141" s="33">
        <f>IF(بيانات!AH141=1000,بيانات!AI141,"")</f>
        <v/>
      </c>
      <c r="G141" s="31">
        <f>IF(بيانات!AH141=1000,بيانات!AE141,"")</f>
        <v/>
      </c>
    </row>
    <row r="142" ht="22" customHeight="1">
      <c r="A142" s="31">
        <f>IF(بيانات!AH142=1000,بيانات!A142,"")</f>
        <v/>
      </c>
      <c r="B142" s="32">
        <f>IF(بيانات!AH142=1000,بيانات!B142,"")</f>
        <v/>
      </c>
      <c r="C142" s="32">
        <f>IF(بيانات!AH142=1000,بيانات!C142,"")</f>
        <v/>
      </c>
      <c r="D142" s="33">
        <f>IF(بيانات!AH142=1000,بيانات!AF142,"")</f>
        <v/>
      </c>
      <c r="E142" s="33">
        <f>IF(بيانات!AH142=1000,بيانات!AH142,"")</f>
        <v/>
      </c>
      <c r="F142" s="33">
        <f>IF(بيانات!AH142=1000,بيانات!AI142,"")</f>
        <v/>
      </c>
      <c r="G142" s="31">
        <f>IF(بيانات!AH142=1000,بيانات!AE142,"")</f>
        <v/>
      </c>
    </row>
    <row r="143" ht="22" customHeight="1">
      <c r="A143" s="31">
        <f>IF(بيانات!AH143=1000,بيانات!A143,"")</f>
        <v/>
      </c>
      <c r="B143" s="32">
        <f>IF(بيانات!AH143=1000,بيانات!B143,"")</f>
        <v/>
      </c>
      <c r="C143" s="32">
        <f>IF(بيانات!AH143=1000,بيانات!C143,"")</f>
        <v/>
      </c>
      <c r="D143" s="33">
        <f>IF(بيانات!AH143=1000,بيانات!AF143,"")</f>
        <v/>
      </c>
      <c r="E143" s="33">
        <f>IF(بيانات!AH143=1000,بيانات!AH143,"")</f>
        <v/>
      </c>
      <c r="F143" s="33">
        <f>IF(بيانات!AH143=1000,بيانات!AI143,"")</f>
        <v/>
      </c>
      <c r="G143" s="31">
        <f>IF(بيانات!AH143=1000,بيانات!AE143,"")</f>
        <v/>
      </c>
    </row>
    <row r="144" ht="22" customHeight="1">
      <c r="A144" s="31">
        <f>IF(بيانات!AH144=1000,بيانات!A144,"")</f>
        <v/>
      </c>
      <c r="B144" s="32">
        <f>IF(بيانات!AH144=1000,بيانات!B144,"")</f>
        <v/>
      </c>
      <c r="C144" s="32">
        <f>IF(بيانات!AH144=1000,بيانات!C144,"")</f>
        <v/>
      </c>
      <c r="D144" s="33">
        <f>IF(بيانات!AH144=1000,بيانات!AF144,"")</f>
        <v/>
      </c>
      <c r="E144" s="33">
        <f>IF(بيانات!AH144=1000,بيانات!AH144,"")</f>
        <v/>
      </c>
      <c r="F144" s="33">
        <f>IF(بيانات!AH144=1000,بيانات!AI144,"")</f>
        <v/>
      </c>
      <c r="G144" s="31">
        <f>IF(بيانات!AH144=1000,بيانات!AE144,"")</f>
        <v/>
      </c>
    </row>
    <row r="145" ht="22" customHeight="1">
      <c r="A145" s="31">
        <f>IF(بيانات!AH145=1000,بيانات!A145,"")</f>
        <v/>
      </c>
      <c r="B145" s="32">
        <f>IF(بيانات!AH145=1000,بيانات!B145,"")</f>
        <v/>
      </c>
      <c r="C145" s="32">
        <f>IF(بيانات!AH145=1000,بيانات!C145,"")</f>
        <v/>
      </c>
      <c r="D145" s="33">
        <f>IF(بيانات!AH145=1000,بيانات!AF145,"")</f>
        <v/>
      </c>
      <c r="E145" s="33">
        <f>IF(بيانات!AH145=1000,بيانات!AH145,"")</f>
        <v/>
      </c>
      <c r="F145" s="33">
        <f>IF(بيانات!AH145=1000,بيانات!AI145,"")</f>
        <v/>
      </c>
      <c r="G145" s="31">
        <f>IF(بيانات!AH145=1000,بيانات!AE145,"")</f>
        <v/>
      </c>
    </row>
    <row r="146" ht="22" customHeight="1">
      <c r="A146" s="31">
        <f>IF(بيانات!AH146=1000,بيانات!A146,"")</f>
        <v/>
      </c>
      <c r="B146" s="32">
        <f>IF(بيانات!AH146=1000,بيانات!B146,"")</f>
        <v/>
      </c>
      <c r="C146" s="32">
        <f>IF(بيانات!AH146=1000,بيانات!C146,"")</f>
        <v/>
      </c>
      <c r="D146" s="33">
        <f>IF(بيانات!AH146=1000,بيانات!AF146,"")</f>
        <v/>
      </c>
      <c r="E146" s="33">
        <f>IF(بيانات!AH146=1000,بيانات!AH146,"")</f>
        <v/>
      </c>
      <c r="F146" s="33">
        <f>IF(بيانات!AH146=1000,بيانات!AI146,"")</f>
        <v/>
      </c>
      <c r="G146" s="31">
        <f>IF(بيانات!AH146=1000,بيانات!AE146,"")</f>
        <v/>
      </c>
    </row>
    <row r="147" ht="22" customHeight="1">
      <c r="A147" s="31">
        <f>IF(بيانات!AH147=1000,بيانات!A147,"")</f>
        <v/>
      </c>
      <c r="B147" s="32">
        <f>IF(بيانات!AH147=1000,بيانات!B147,"")</f>
        <v/>
      </c>
      <c r="C147" s="32">
        <f>IF(بيانات!AH147=1000,بيانات!C147,"")</f>
        <v/>
      </c>
      <c r="D147" s="33">
        <f>IF(بيانات!AH147=1000,بيانات!AF147,"")</f>
        <v/>
      </c>
      <c r="E147" s="33">
        <f>IF(بيانات!AH147=1000,بيانات!AH147,"")</f>
        <v/>
      </c>
      <c r="F147" s="33">
        <f>IF(بيانات!AH147=1000,بيانات!AI147,"")</f>
        <v/>
      </c>
      <c r="G147" s="31">
        <f>IF(بيانات!AH147=1000,بيانات!AE147,"")</f>
        <v/>
      </c>
    </row>
    <row r="148" ht="22" customHeight="1">
      <c r="A148" s="31">
        <f>IF(بيانات!AH148=1000,بيانات!A148,"")</f>
        <v/>
      </c>
      <c r="B148" s="32">
        <f>IF(بيانات!AH148=1000,بيانات!B148,"")</f>
        <v/>
      </c>
      <c r="C148" s="32">
        <f>IF(بيانات!AH148=1000,بيانات!C148,"")</f>
        <v/>
      </c>
      <c r="D148" s="33">
        <f>IF(بيانات!AH148=1000,بيانات!AF148,"")</f>
        <v/>
      </c>
      <c r="E148" s="33">
        <f>IF(بيانات!AH148=1000,بيانات!AH148,"")</f>
        <v/>
      </c>
      <c r="F148" s="33">
        <f>IF(بيانات!AH148=1000,بيانات!AI148,"")</f>
        <v/>
      </c>
      <c r="G148" s="31">
        <f>IF(بيانات!AH148=1000,بيانات!AE148,"")</f>
        <v/>
      </c>
    </row>
    <row r="149" ht="22" customHeight="1">
      <c r="A149" s="31">
        <f>IF(بيانات!AH149=1000,بيانات!A149,"")</f>
        <v/>
      </c>
      <c r="B149" s="32">
        <f>IF(بيانات!AH149=1000,بيانات!B149,"")</f>
        <v/>
      </c>
      <c r="C149" s="32">
        <f>IF(بيانات!AH149=1000,بيانات!C149,"")</f>
        <v/>
      </c>
      <c r="D149" s="33">
        <f>IF(بيانات!AH149=1000,بيانات!AF149,"")</f>
        <v/>
      </c>
      <c r="E149" s="33">
        <f>IF(بيانات!AH149=1000,بيانات!AH149,"")</f>
        <v/>
      </c>
      <c r="F149" s="33">
        <f>IF(بيانات!AH149=1000,بيانات!AI149,"")</f>
        <v/>
      </c>
      <c r="G149" s="31">
        <f>IF(بيانات!AH149=1000,بيانات!AE149,"")</f>
        <v/>
      </c>
    </row>
    <row r="150" ht="22" customHeight="1">
      <c r="A150" s="31">
        <f>IF(بيانات!AH150=1000,بيانات!A150,"")</f>
        <v/>
      </c>
      <c r="B150" s="32">
        <f>IF(بيانات!AH150=1000,بيانات!B150,"")</f>
        <v/>
      </c>
      <c r="C150" s="32">
        <f>IF(بيانات!AH150=1000,بيانات!C150,"")</f>
        <v/>
      </c>
      <c r="D150" s="33">
        <f>IF(بيانات!AH150=1000,بيانات!AF150,"")</f>
        <v/>
      </c>
      <c r="E150" s="33">
        <f>IF(بيانات!AH150=1000,بيانات!AH150,"")</f>
        <v/>
      </c>
      <c r="F150" s="33">
        <f>IF(بيانات!AH150=1000,بيانات!AI150,"")</f>
        <v/>
      </c>
      <c r="G150" s="31">
        <f>IF(بيانات!AH150=1000,بيانات!AE150,"")</f>
        <v/>
      </c>
    </row>
    <row r="151" ht="22" customHeight="1">
      <c r="A151" s="31">
        <f>IF(بيانات!AH151=1000,بيانات!A151,"")</f>
        <v/>
      </c>
      <c r="B151" s="32">
        <f>IF(بيانات!AH151=1000,بيانات!B151,"")</f>
        <v/>
      </c>
      <c r="C151" s="32">
        <f>IF(بيانات!AH151=1000,بيانات!C151,"")</f>
        <v/>
      </c>
      <c r="D151" s="33">
        <f>IF(بيانات!AH151=1000,بيانات!AF151,"")</f>
        <v/>
      </c>
      <c r="E151" s="33">
        <f>IF(بيانات!AH151=1000,بيانات!AH151,"")</f>
        <v/>
      </c>
      <c r="F151" s="33">
        <f>IF(بيانات!AH151=1000,بيانات!AI151,"")</f>
        <v/>
      </c>
      <c r="G151" s="31">
        <f>IF(بيانات!AH151=1000,بيانات!AE151,"")</f>
        <v/>
      </c>
    </row>
    <row r="152" ht="22" customHeight="1">
      <c r="A152" s="31">
        <f>IF(بيانات!AH152=1000,بيانات!A152,"")</f>
        <v/>
      </c>
      <c r="B152" s="32">
        <f>IF(بيانات!AH152=1000,بيانات!B152,"")</f>
        <v/>
      </c>
      <c r="C152" s="32">
        <f>IF(بيانات!AH152=1000,بيانات!C152,"")</f>
        <v/>
      </c>
      <c r="D152" s="33">
        <f>IF(بيانات!AH152=1000,بيانات!AF152,"")</f>
        <v/>
      </c>
      <c r="E152" s="33">
        <f>IF(بيانات!AH152=1000,بيانات!AH152,"")</f>
        <v/>
      </c>
      <c r="F152" s="33">
        <f>IF(بيانات!AH152=1000,بيانات!AI152,"")</f>
        <v/>
      </c>
      <c r="G152" s="31">
        <f>IF(بيانات!AH152=1000,بيانات!AE152,"")</f>
        <v/>
      </c>
    </row>
    <row r="153" ht="22" customHeight="1">
      <c r="A153" s="31">
        <f>IF(بيانات!AH153=1000,بيانات!A153,"")</f>
        <v/>
      </c>
      <c r="B153" s="32">
        <f>IF(بيانات!AH153=1000,بيانات!B153,"")</f>
        <v/>
      </c>
      <c r="C153" s="32">
        <f>IF(بيانات!AH153=1000,بيانات!C153,"")</f>
        <v/>
      </c>
      <c r="D153" s="33">
        <f>IF(بيانات!AH153=1000,بيانات!AF153,"")</f>
        <v/>
      </c>
      <c r="E153" s="33">
        <f>IF(بيانات!AH153=1000,بيانات!AH153,"")</f>
        <v/>
      </c>
      <c r="F153" s="33">
        <f>IF(بيانات!AH153=1000,بيانات!AI153,"")</f>
        <v/>
      </c>
      <c r="G153" s="31">
        <f>IF(بيانات!AH153=1000,بيانات!AE153,"")</f>
        <v/>
      </c>
    </row>
    <row r="154" ht="22" customHeight="1">
      <c r="A154" s="31">
        <f>IF(بيانات!AH154=1000,بيانات!A154,"")</f>
        <v/>
      </c>
      <c r="B154" s="32">
        <f>IF(بيانات!AH154=1000,بيانات!B154,"")</f>
        <v/>
      </c>
      <c r="C154" s="32">
        <f>IF(بيانات!AH154=1000,بيانات!C154,"")</f>
        <v/>
      </c>
      <c r="D154" s="33">
        <f>IF(بيانات!AH154=1000,بيانات!AF154,"")</f>
        <v/>
      </c>
      <c r="E154" s="33">
        <f>IF(بيانات!AH154=1000,بيانات!AH154,"")</f>
        <v/>
      </c>
      <c r="F154" s="33">
        <f>IF(بيانات!AH154=1000,بيانات!AI154,"")</f>
        <v/>
      </c>
      <c r="G154" s="31">
        <f>IF(بيانات!AH154=1000,بيانات!AE154,"")</f>
        <v/>
      </c>
    </row>
    <row r="155" ht="22" customHeight="1">
      <c r="A155" s="31">
        <f>IF(بيانات!AH155=1000,بيانات!A155,"")</f>
        <v/>
      </c>
      <c r="B155" s="32">
        <f>IF(بيانات!AH155=1000,بيانات!B155,"")</f>
        <v/>
      </c>
      <c r="C155" s="32">
        <f>IF(بيانات!AH155=1000,بيانات!C155,"")</f>
        <v/>
      </c>
      <c r="D155" s="33">
        <f>IF(بيانات!AH155=1000,بيانات!AF155,"")</f>
        <v/>
      </c>
      <c r="E155" s="33">
        <f>IF(بيانات!AH155=1000,بيانات!AH155,"")</f>
        <v/>
      </c>
      <c r="F155" s="33">
        <f>IF(بيانات!AH155=1000,بيانات!AI155,"")</f>
        <v/>
      </c>
      <c r="G155" s="31">
        <f>IF(بيانات!AH155=1000,بيانات!AE155,"")</f>
        <v/>
      </c>
    </row>
    <row r="156" ht="22" customHeight="1">
      <c r="A156" s="31">
        <f>IF(بيانات!AH156=1000,بيانات!A156,"")</f>
        <v/>
      </c>
      <c r="B156" s="32">
        <f>IF(بيانات!AH156=1000,بيانات!B156,"")</f>
        <v/>
      </c>
      <c r="C156" s="32">
        <f>IF(بيانات!AH156=1000,بيانات!C156,"")</f>
        <v/>
      </c>
      <c r="D156" s="33">
        <f>IF(بيانات!AH156=1000,بيانات!AF156,"")</f>
        <v/>
      </c>
      <c r="E156" s="33">
        <f>IF(بيانات!AH156=1000,بيانات!AH156,"")</f>
        <v/>
      </c>
      <c r="F156" s="33">
        <f>IF(بيانات!AH156=1000,بيانات!AI156,"")</f>
        <v/>
      </c>
      <c r="G156" s="31">
        <f>IF(بيانات!AH156=1000,بيانات!AE156,"")</f>
        <v/>
      </c>
    </row>
    <row r="157" ht="22" customHeight="1">
      <c r="A157" s="31">
        <f>IF(بيانات!AH157=1000,بيانات!A157,"")</f>
        <v/>
      </c>
      <c r="B157" s="32">
        <f>IF(بيانات!AH157=1000,بيانات!B157,"")</f>
        <v/>
      </c>
      <c r="C157" s="32">
        <f>IF(بيانات!AH157=1000,بيانات!C157,"")</f>
        <v/>
      </c>
      <c r="D157" s="33">
        <f>IF(بيانات!AH157=1000,بيانات!AF157,"")</f>
        <v/>
      </c>
      <c r="E157" s="33">
        <f>IF(بيانات!AH157=1000,بيانات!AH157,"")</f>
        <v/>
      </c>
      <c r="F157" s="33">
        <f>IF(بيانات!AH157=1000,بيانات!AI157,"")</f>
        <v/>
      </c>
      <c r="G157" s="31">
        <f>IF(بيانات!AH157=1000,بيانات!AE157,"")</f>
        <v/>
      </c>
    </row>
    <row r="158" ht="22" customHeight="1">
      <c r="A158" s="31">
        <f>IF(بيانات!AH158=1000,بيانات!A158,"")</f>
        <v/>
      </c>
      <c r="B158" s="32">
        <f>IF(بيانات!AH158=1000,بيانات!B158,"")</f>
        <v/>
      </c>
      <c r="C158" s="32">
        <f>IF(بيانات!AH158=1000,بيانات!C158,"")</f>
        <v/>
      </c>
      <c r="D158" s="33">
        <f>IF(بيانات!AH158=1000,بيانات!AF158,"")</f>
        <v/>
      </c>
      <c r="E158" s="33">
        <f>IF(بيانات!AH158=1000,بيانات!AH158,"")</f>
        <v/>
      </c>
      <c r="F158" s="33">
        <f>IF(بيانات!AH158=1000,بيانات!AI158,"")</f>
        <v/>
      </c>
      <c r="G158" s="31">
        <f>IF(بيانات!AH158=1000,بيانات!AE158,"")</f>
        <v/>
      </c>
    </row>
    <row r="159" ht="22" customHeight="1">
      <c r="A159" s="31">
        <f>IF(بيانات!AH159=1000,بيانات!A159,"")</f>
        <v/>
      </c>
      <c r="B159" s="32">
        <f>IF(بيانات!AH159=1000,بيانات!B159,"")</f>
        <v/>
      </c>
      <c r="C159" s="32">
        <f>IF(بيانات!AH159=1000,بيانات!C159,"")</f>
        <v/>
      </c>
      <c r="D159" s="33">
        <f>IF(بيانات!AH159=1000,بيانات!AF159,"")</f>
        <v/>
      </c>
      <c r="E159" s="33">
        <f>IF(بيانات!AH159=1000,بيانات!AH159,"")</f>
        <v/>
      </c>
      <c r="F159" s="33">
        <f>IF(بيانات!AH159=1000,بيانات!AI159,"")</f>
        <v/>
      </c>
      <c r="G159" s="31">
        <f>IF(بيانات!AH159=1000,بيانات!AE159,"")</f>
        <v/>
      </c>
    </row>
    <row r="160" ht="22" customHeight="1">
      <c r="A160" s="31">
        <f>IF(بيانات!AH160=1000,بيانات!A160,"")</f>
        <v/>
      </c>
      <c r="B160" s="32">
        <f>IF(بيانات!AH160=1000,بيانات!B160,"")</f>
        <v/>
      </c>
      <c r="C160" s="32">
        <f>IF(بيانات!AH160=1000,بيانات!C160,"")</f>
        <v/>
      </c>
      <c r="D160" s="33">
        <f>IF(بيانات!AH160=1000,بيانات!AF160,"")</f>
        <v/>
      </c>
      <c r="E160" s="33">
        <f>IF(بيانات!AH160=1000,بيانات!AH160,"")</f>
        <v/>
      </c>
      <c r="F160" s="33">
        <f>IF(بيانات!AH160=1000,بيانات!AI160,"")</f>
        <v/>
      </c>
      <c r="G160" s="31">
        <f>IF(بيانات!AH160=1000,بيانات!AE160,"")</f>
        <v/>
      </c>
    </row>
    <row r="161" ht="22" customHeight="1">
      <c r="A161" s="31">
        <f>IF(بيانات!AH161=1000,بيانات!A161,"")</f>
        <v/>
      </c>
      <c r="B161" s="32">
        <f>IF(بيانات!AH161=1000,بيانات!B161,"")</f>
        <v/>
      </c>
      <c r="C161" s="32">
        <f>IF(بيانات!AH161=1000,بيانات!C161,"")</f>
        <v/>
      </c>
      <c r="D161" s="33">
        <f>IF(بيانات!AH161=1000,بيانات!AF161,"")</f>
        <v/>
      </c>
      <c r="E161" s="33">
        <f>IF(بيانات!AH161=1000,بيانات!AH161,"")</f>
        <v/>
      </c>
      <c r="F161" s="33">
        <f>IF(بيانات!AH161=1000,بيانات!AI161,"")</f>
        <v/>
      </c>
      <c r="G161" s="31">
        <f>IF(بيانات!AH161=1000,بيانات!AE161,"")</f>
        <v/>
      </c>
    </row>
    <row r="162" ht="22" customHeight="1">
      <c r="A162" s="31">
        <f>IF(بيانات!AH162=1000,بيانات!A162,"")</f>
        <v/>
      </c>
      <c r="B162" s="32">
        <f>IF(بيانات!AH162=1000,بيانات!B162,"")</f>
        <v/>
      </c>
      <c r="C162" s="32">
        <f>IF(بيانات!AH162=1000,بيانات!C162,"")</f>
        <v/>
      </c>
      <c r="D162" s="33">
        <f>IF(بيانات!AH162=1000,بيانات!AF162,"")</f>
        <v/>
      </c>
      <c r="E162" s="33">
        <f>IF(بيانات!AH162=1000,بيانات!AH162,"")</f>
        <v/>
      </c>
      <c r="F162" s="33">
        <f>IF(بيانات!AH162=1000,بيانات!AI162,"")</f>
        <v/>
      </c>
      <c r="G162" s="31">
        <f>IF(بيانات!AH162=1000,بيانات!AE162,"")</f>
        <v/>
      </c>
    </row>
    <row r="163" ht="22" customHeight="1">
      <c r="A163" s="31">
        <f>IF(بيانات!AH163=1000,بيانات!A163,"")</f>
        <v/>
      </c>
      <c r="B163" s="32">
        <f>IF(بيانات!AH163=1000,بيانات!B163,"")</f>
        <v/>
      </c>
      <c r="C163" s="32">
        <f>IF(بيانات!AH163=1000,بيانات!C163,"")</f>
        <v/>
      </c>
      <c r="D163" s="33">
        <f>IF(بيانات!AH163=1000,بيانات!AF163,"")</f>
        <v/>
      </c>
      <c r="E163" s="33">
        <f>IF(بيانات!AH163=1000,بيانات!AH163,"")</f>
        <v/>
      </c>
      <c r="F163" s="33">
        <f>IF(بيانات!AH163=1000,بيانات!AI163,"")</f>
        <v/>
      </c>
      <c r="G163" s="31">
        <f>IF(بيانات!AH163=1000,بيانات!AE163,"")</f>
        <v/>
      </c>
    </row>
    <row r="164" ht="22" customHeight="1">
      <c r="A164" s="31">
        <f>IF(بيانات!AH164=1000,بيانات!A164,"")</f>
        <v/>
      </c>
      <c r="B164" s="32">
        <f>IF(بيانات!AH164=1000,بيانات!B164,"")</f>
        <v/>
      </c>
      <c r="C164" s="32">
        <f>IF(بيانات!AH164=1000,بيانات!C164,"")</f>
        <v/>
      </c>
      <c r="D164" s="33">
        <f>IF(بيانات!AH164=1000,بيانات!AF164,"")</f>
        <v/>
      </c>
      <c r="E164" s="33">
        <f>IF(بيانات!AH164=1000,بيانات!AH164,"")</f>
        <v/>
      </c>
      <c r="F164" s="33">
        <f>IF(بيانات!AH164=1000,بيانات!AI164,"")</f>
        <v/>
      </c>
      <c r="G164" s="31">
        <f>IF(بيانات!AH164=1000,بيانات!AE164,"")</f>
        <v/>
      </c>
    </row>
    <row r="165" ht="22" customHeight="1">
      <c r="A165" s="31">
        <f>IF(بيانات!AH165=1000,بيانات!A165,"")</f>
        <v/>
      </c>
      <c r="B165" s="32">
        <f>IF(بيانات!AH165=1000,بيانات!B165,"")</f>
        <v/>
      </c>
      <c r="C165" s="32">
        <f>IF(بيانات!AH165=1000,بيانات!C165,"")</f>
        <v/>
      </c>
      <c r="D165" s="33">
        <f>IF(بيانات!AH165=1000,بيانات!AF165,"")</f>
        <v/>
      </c>
      <c r="E165" s="33">
        <f>IF(بيانات!AH165=1000,بيانات!AH165,"")</f>
        <v/>
      </c>
      <c r="F165" s="33">
        <f>IF(بيانات!AH165=1000,بيانات!AI165,"")</f>
        <v/>
      </c>
      <c r="G165" s="31">
        <f>IF(بيانات!AH165=1000,بيانات!AE165,"")</f>
        <v/>
      </c>
    </row>
    <row r="166" ht="22" customHeight="1">
      <c r="A166" s="31">
        <f>IF(بيانات!AH166=1000,بيانات!A166,"")</f>
        <v/>
      </c>
      <c r="B166" s="32">
        <f>IF(بيانات!AH166=1000,بيانات!B166,"")</f>
        <v/>
      </c>
      <c r="C166" s="32">
        <f>IF(بيانات!AH166=1000,بيانات!C166,"")</f>
        <v/>
      </c>
      <c r="D166" s="33">
        <f>IF(بيانات!AH166=1000,بيانات!AF166,"")</f>
        <v/>
      </c>
      <c r="E166" s="33">
        <f>IF(بيانات!AH166=1000,بيانات!AH166,"")</f>
        <v/>
      </c>
      <c r="F166" s="33">
        <f>IF(بيانات!AH166=1000,بيانات!AI166,"")</f>
        <v/>
      </c>
      <c r="G166" s="31">
        <f>IF(بيانات!AH166=1000,بيانات!AE166,"")</f>
        <v/>
      </c>
    </row>
    <row r="167" ht="22" customHeight="1">
      <c r="A167" s="31">
        <f>IF(بيانات!AH167=1000,بيانات!A167,"")</f>
        <v/>
      </c>
      <c r="B167" s="32">
        <f>IF(بيانات!AH167=1000,بيانات!B167,"")</f>
        <v/>
      </c>
      <c r="C167" s="32">
        <f>IF(بيانات!AH167=1000,بيانات!C167,"")</f>
        <v/>
      </c>
      <c r="D167" s="33">
        <f>IF(بيانات!AH167=1000,بيانات!AF167,"")</f>
        <v/>
      </c>
      <c r="E167" s="33">
        <f>IF(بيانات!AH167=1000,بيانات!AH167,"")</f>
        <v/>
      </c>
      <c r="F167" s="33">
        <f>IF(بيانات!AH167=1000,بيانات!AI167,"")</f>
        <v/>
      </c>
      <c r="G167" s="31">
        <f>IF(بيانات!AH167=1000,بيانات!AE167,"")</f>
        <v/>
      </c>
    </row>
    <row r="168" ht="22" customHeight="1">
      <c r="A168" s="31">
        <f>IF(بيانات!AH168=1000,بيانات!A168,"")</f>
        <v/>
      </c>
      <c r="B168" s="32">
        <f>IF(بيانات!AH168=1000,بيانات!B168,"")</f>
        <v/>
      </c>
      <c r="C168" s="32">
        <f>IF(بيانات!AH168=1000,بيانات!C168,"")</f>
        <v/>
      </c>
      <c r="D168" s="33">
        <f>IF(بيانات!AH168=1000,بيانات!AF168,"")</f>
        <v/>
      </c>
      <c r="E168" s="33">
        <f>IF(بيانات!AH168=1000,بيانات!AH168,"")</f>
        <v/>
      </c>
      <c r="F168" s="33">
        <f>IF(بيانات!AH168=1000,بيانات!AI168,"")</f>
        <v/>
      </c>
      <c r="G168" s="31">
        <f>IF(بيانات!AH168=1000,بيانات!AE168,"")</f>
        <v/>
      </c>
    </row>
    <row r="169" ht="22" customHeight="1">
      <c r="A169" s="31">
        <f>IF(بيانات!AH169=1000,بيانات!A169,"")</f>
        <v/>
      </c>
      <c r="B169" s="32">
        <f>IF(بيانات!AH169=1000,بيانات!B169,"")</f>
        <v/>
      </c>
      <c r="C169" s="32">
        <f>IF(بيانات!AH169=1000,بيانات!C169,"")</f>
        <v/>
      </c>
      <c r="D169" s="33">
        <f>IF(بيانات!AH169=1000,بيانات!AF169,"")</f>
        <v/>
      </c>
      <c r="E169" s="33">
        <f>IF(بيانات!AH169=1000,بيانات!AH169,"")</f>
        <v/>
      </c>
      <c r="F169" s="33">
        <f>IF(بيانات!AH169=1000,بيانات!AI169,"")</f>
        <v/>
      </c>
      <c r="G169" s="31">
        <f>IF(بيانات!AH169=1000,بيانات!AE169,"")</f>
        <v/>
      </c>
    </row>
    <row r="170" ht="22" customHeight="1">
      <c r="A170" s="31">
        <f>IF(بيانات!AH170=1000,بيانات!A170,"")</f>
        <v/>
      </c>
      <c r="B170" s="32">
        <f>IF(بيانات!AH170=1000,بيانات!B170,"")</f>
        <v/>
      </c>
      <c r="C170" s="32">
        <f>IF(بيانات!AH170=1000,بيانات!C170,"")</f>
        <v/>
      </c>
      <c r="D170" s="33">
        <f>IF(بيانات!AH170=1000,بيانات!AF170,"")</f>
        <v/>
      </c>
      <c r="E170" s="33">
        <f>IF(بيانات!AH170=1000,بيانات!AH170,"")</f>
        <v/>
      </c>
      <c r="F170" s="33">
        <f>IF(بيانات!AH170=1000,بيانات!AI170,"")</f>
        <v/>
      </c>
      <c r="G170" s="31">
        <f>IF(بيانات!AH170=1000,بيانات!AE170,"")</f>
        <v/>
      </c>
    </row>
    <row r="171" ht="22" customHeight="1">
      <c r="A171" s="31">
        <f>IF(بيانات!AH171=1000,بيانات!A171,"")</f>
        <v/>
      </c>
      <c r="B171" s="32">
        <f>IF(بيانات!AH171=1000,بيانات!B171,"")</f>
        <v/>
      </c>
      <c r="C171" s="32">
        <f>IF(بيانات!AH171=1000,بيانات!C171,"")</f>
        <v/>
      </c>
      <c r="D171" s="33">
        <f>IF(بيانات!AH171=1000,بيانات!AF171,"")</f>
        <v/>
      </c>
      <c r="E171" s="33">
        <f>IF(بيانات!AH171=1000,بيانات!AH171,"")</f>
        <v/>
      </c>
      <c r="F171" s="33">
        <f>IF(بيانات!AH171=1000,بيانات!AI171,"")</f>
        <v/>
      </c>
      <c r="G171" s="31">
        <f>IF(بيانات!AH171=1000,بيانات!AE171,"")</f>
        <v/>
      </c>
    </row>
    <row r="172" ht="22" customHeight="1">
      <c r="A172" s="31">
        <f>IF(بيانات!AH172=1000,بيانات!A172,"")</f>
        <v/>
      </c>
      <c r="B172" s="32">
        <f>IF(بيانات!AH172=1000,بيانات!B172,"")</f>
        <v/>
      </c>
      <c r="C172" s="32">
        <f>IF(بيانات!AH172=1000,بيانات!C172,"")</f>
        <v/>
      </c>
      <c r="D172" s="33">
        <f>IF(بيانات!AH172=1000,بيانات!AF172,"")</f>
        <v/>
      </c>
      <c r="E172" s="33">
        <f>IF(بيانات!AH172=1000,بيانات!AH172,"")</f>
        <v/>
      </c>
      <c r="F172" s="33">
        <f>IF(بيانات!AH172=1000,بيانات!AI172,"")</f>
        <v/>
      </c>
      <c r="G172" s="31">
        <f>IF(بيانات!AH172=1000,بيانات!AE172,"")</f>
        <v/>
      </c>
    </row>
    <row r="173" ht="22" customHeight="1">
      <c r="A173" s="31">
        <f>IF(بيانات!AH173=1000,بيانات!A173,"")</f>
        <v/>
      </c>
      <c r="B173" s="32">
        <f>IF(بيانات!AH173=1000,بيانات!B173,"")</f>
        <v/>
      </c>
      <c r="C173" s="32">
        <f>IF(بيانات!AH173=1000,بيانات!C173,"")</f>
        <v/>
      </c>
      <c r="D173" s="33">
        <f>IF(بيانات!AH173=1000,بيانات!AF173,"")</f>
        <v/>
      </c>
      <c r="E173" s="33">
        <f>IF(بيانات!AH173=1000,بيانات!AH173,"")</f>
        <v/>
      </c>
      <c r="F173" s="33">
        <f>IF(بيانات!AH173=1000,بيانات!AI173,"")</f>
        <v/>
      </c>
      <c r="G173" s="31">
        <f>IF(بيانات!AH173=1000,بيانات!AE173,"")</f>
        <v/>
      </c>
    </row>
    <row r="174" ht="22" customHeight="1">
      <c r="A174" s="31">
        <f>IF(بيانات!AH174=1000,بيانات!A174,"")</f>
        <v/>
      </c>
      <c r="B174" s="32">
        <f>IF(بيانات!AH174=1000,بيانات!B174,"")</f>
        <v/>
      </c>
      <c r="C174" s="32">
        <f>IF(بيانات!AH174=1000,بيانات!C174,"")</f>
        <v/>
      </c>
      <c r="D174" s="33">
        <f>IF(بيانات!AH174=1000,بيانات!AF174,"")</f>
        <v/>
      </c>
      <c r="E174" s="33">
        <f>IF(بيانات!AH174=1000,بيانات!AH174,"")</f>
        <v/>
      </c>
      <c r="F174" s="33">
        <f>IF(بيانات!AH174=1000,بيانات!AI174,"")</f>
        <v/>
      </c>
      <c r="G174" s="31">
        <f>IF(بيانات!AH174=1000,بيانات!AE174,"")</f>
        <v/>
      </c>
    </row>
    <row r="175" ht="22" customHeight="1">
      <c r="A175" s="31">
        <f>IF(بيانات!AH175=1000,بيانات!A175,"")</f>
        <v/>
      </c>
      <c r="B175" s="32">
        <f>IF(بيانات!AH175=1000,بيانات!B175,"")</f>
        <v/>
      </c>
      <c r="C175" s="32">
        <f>IF(بيانات!AH175=1000,بيانات!C175,"")</f>
        <v/>
      </c>
      <c r="D175" s="33">
        <f>IF(بيانات!AH175=1000,بيانات!AF175,"")</f>
        <v/>
      </c>
      <c r="E175" s="33">
        <f>IF(بيانات!AH175=1000,بيانات!AH175,"")</f>
        <v/>
      </c>
      <c r="F175" s="33">
        <f>IF(بيانات!AH175=1000,بيانات!AI175,"")</f>
        <v/>
      </c>
      <c r="G175" s="31">
        <f>IF(بيانات!AH175=1000,بيانات!AE175,"")</f>
        <v/>
      </c>
    </row>
    <row r="176" ht="22" customHeight="1">
      <c r="A176" s="31">
        <f>IF(بيانات!AH176=1000,بيانات!A176,"")</f>
        <v/>
      </c>
      <c r="B176" s="32">
        <f>IF(بيانات!AH176=1000,بيانات!B176,"")</f>
        <v/>
      </c>
      <c r="C176" s="32">
        <f>IF(بيانات!AH176=1000,بيانات!C176,"")</f>
        <v/>
      </c>
      <c r="D176" s="33">
        <f>IF(بيانات!AH176=1000,بيانات!AF176,"")</f>
        <v/>
      </c>
      <c r="E176" s="33">
        <f>IF(بيانات!AH176=1000,بيانات!AH176,"")</f>
        <v/>
      </c>
      <c r="F176" s="33">
        <f>IF(بيانات!AH176=1000,بيانات!AI176,"")</f>
        <v/>
      </c>
      <c r="G176" s="31">
        <f>IF(بيانات!AH176=1000,بيانات!AE176,"")</f>
        <v/>
      </c>
    </row>
    <row r="177" ht="22" customHeight="1">
      <c r="A177" s="31">
        <f>IF(بيانات!AH177=1000,بيانات!A177,"")</f>
        <v/>
      </c>
      <c r="B177" s="32">
        <f>IF(بيانات!AH177=1000,بيانات!B177,"")</f>
        <v/>
      </c>
      <c r="C177" s="32">
        <f>IF(بيانات!AH177=1000,بيانات!C177,"")</f>
        <v/>
      </c>
      <c r="D177" s="33">
        <f>IF(بيانات!AH177=1000,بيانات!AF177,"")</f>
        <v/>
      </c>
      <c r="E177" s="33">
        <f>IF(بيانات!AH177=1000,بيانات!AH177,"")</f>
        <v/>
      </c>
      <c r="F177" s="33">
        <f>IF(بيانات!AH177=1000,بيانات!AI177,"")</f>
        <v/>
      </c>
      <c r="G177" s="31">
        <f>IF(بيانات!AH177=1000,بيانات!AE177,"")</f>
        <v/>
      </c>
    </row>
    <row r="178" ht="22" customHeight="1">
      <c r="A178" s="31">
        <f>IF(بيانات!AH178=1000,بيانات!A178,"")</f>
        <v/>
      </c>
      <c r="B178" s="32">
        <f>IF(بيانات!AH178=1000,بيانات!B178,"")</f>
        <v/>
      </c>
      <c r="C178" s="32">
        <f>IF(بيانات!AH178=1000,بيانات!C178,"")</f>
        <v/>
      </c>
      <c r="D178" s="33">
        <f>IF(بيانات!AH178=1000,بيانات!AF178,"")</f>
        <v/>
      </c>
      <c r="E178" s="33">
        <f>IF(بيانات!AH178=1000,بيانات!AH178,"")</f>
        <v/>
      </c>
      <c r="F178" s="33">
        <f>IF(بيانات!AH178=1000,بيانات!AI178,"")</f>
        <v/>
      </c>
      <c r="G178" s="31">
        <f>IF(بيانات!AH178=1000,بيانات!AE178,"")</f>
        <v/>
      </c>
    </row>
    <row r="179" ht="22" customHeight="1">
      <c r="A179" s="31">
        <f>IF(بيانات!AH179=1000,بيانات!A179,"")</f>
        <v/>
      </c>
      <c r="B179" s="32">
        <f>IF(بيانات!AH179=1000,بيانات!B179,"")</f>
        <v/>
      </c>
      <c r="C179" s="32">
        <f>IF(بيانات!AH179=1000,بيانات!C179,"")</f>
        <v/>
      </c>
      <c r="D179" s="33">
        <f>IF(بيانات!AH179=1000,بيانات!AF179,"")</f>
        <v/>
      </c>
      <c r="E179" s="33">
        <f>IF(بيانات!AH179=1000,بيانات!AH179,"")</f>
        <v/>
      </c>
      <c r="F179" s="33">
        <f>IF(بيانات!AH179=1000,بيانات!AI179,"")</f>
        <v/>
      </c>
      <c r="G179" s="31">
        <f>IF(بيانات!AH179=1000,بيانات!AE179,"")</f>
        <v/>
      </c>
    </row>
    <row r="180" ht="22" customHeight="1">
      <c r="A180" s="31">
        <f>IF(بيانات!AH180=1000,بيانات!A180,"")</f>
        <v/>
      </c>
      <c r="B180" s="32">
        <f>IF(بيانات!AH180=1000,بيانات!B180,"")</f>
        <v/>
      </c>
      <c r="C180" s="32">
        <f>IF(بيانات!AH180=1000,بيانات!C180,"")</f>
        <v/>
      </c>
      <c r="D180" s="33">
        <f>IF(بيانات!AH180=1000,بيانات!AF180,"")</f>
        <v/>
      </c>
      <c r="E180" s="33">
        <f>IF(بيانات!AH180=1000,بيانات!AH180,"")</f>
        <v/>
      </c>
      <c r="F180" s="33">
        <f>IF(بيانات!AH180=1000,بيانات!AI180,"")</f>
        <v/>
      </c>
      <c r="G180" s="31">
        <f>IF(بيانات!AH180=1000,بيانات!AE180,"")</f>
        <v/>
      </c>
    </row>
    <row r="181" ht="22" customHeight="1">
      <c r="A181" s="31">
        <f>IF(بيانات!AH181=1000,بيانات!A181,"")</f>
        <v/>
      </c>
      <c r="B181" s="32">
        <f>IF(بيانات!AH181=1000,بيانات!B181,"")</f>
        <v/>
      </c>
      <c r="C181" s="32">
        <f>IF(بيانات!AH181=1000,بيانات!C181,"")</f>
        <v/>
      </c>
      <c r="D181" s="33">
        <f>IF(بيانات!AH181=1000,بيانات!AF181,"")</f>
        <v/>
      </c>
      <c r="E181" s="33">
        <f>IF(بيانات!AH181=1000,بيانات!AH181,"")</f>
        <v/>
      </c>
      <c r="F181" s="33">
        <f>IF(بيانات!AH181=1000,بيانات!AI181,"")</f>
        <v/>
      </c>
      <c r="G181" s="31">
        <f>IF(بيانات!AH181=1000,بيانات!AE181,"")</f>
        <v/>
      </c>
    </row>
    <row r="182" ht="22" customHeight="1">
      <c r="A182" s="31">
        <f>IF(بيانات!AH182=1000,بيانات!A182,"")</f>
        <v/>
      </c>
      <c r="B182" s="32">
        <f>IF(بيانات!AH182=1000,بيانات!B182,"")</f>
        <v/>
      </c>
      <c r="C182" s="32">
        <f>IF(بيانات!AH182=1000,بيانات!C182,"")</f>
        <v/>
      </c>
      <c r="D182" s="33">
        <f>IF(بيانات!AH182=1000,بيانات!AF182,"")</f>
        <v/>
      </c>
      <c r="E182" s="33">
        <f>IF(بيانات!AH182=1000,بيانات!AH182,"")</f>
        <v/>
      </c>
      <c r="F182" s="33">
        <f>IF(بيانات!AH182=1000,بيانات!AI182,"")</f>
        <v/>
      </c>
      <c r="G182" s="31">
        <f>IF(بيانات!AH182=1000,بيانات!AE182,"")</f>
        <v/>
      </c>
    </row>
    <row r="183" ht="22" customHeight="1">
      <c r="A183" s="31">
        <f>IF(بيانات!AH183=1000,بيانات!A183,"")</f>
        <v/>
      </c>
      <c r="B183" s="32">
        <f>IF(بيانات!AH183=1000,بيانات!B183,"")</f>
        <v/>
      </c>
      <c r="C183" s="32">
        <f>IF(بيانات!AH183=1000,بيانات!C183,"")</f>
        <v/>
      </c>
      <c r="D183" s="33">
        <f>IF(بيانات!AH183=1000,بيانات!AF183,"")</f>
        <v/>
      </c>
      <c r="E183" s="33">
        <f>IF(بيانات!AH183=1000,بيانات!AH183,"")</f>
        <v/>
      </c>
      <c r="F183" s="33">
        <f>IF(بيانات!AH183=1000,بيانات!AI183,"")</f>
        <v/>
      </c>
      <c r="G183" s="31">
        <f>IF(بيانات!AH183=1000,بيانات!AE183,"")</f>
        <v/>
      </c>
    </row>
    <row r="184" ht="22" customHeight="1">
      <c r="A184" s="31">
        <f>IF(بيانات!AH184=1000,بيانات!A184,"")</f>
        <v/>
      </c>
      <c r="B184" s="32">
        <f>IF(بيانات!AH184=1000,بيانات!B184,"")</f>
        <v/>
      </c>
      <c r="C184" s="32">
        <f>IF(بيانات!AH184=1000,بيانات!C184,"")</f>
        <v/>
      </c>
      <c r="D184" s="33">
        <f>IF(بيانات!AH184=1000,بيانات!AF184,"")</f>
        <v/>
      </c>
      <c r="E184" s="33">
        <f>IF(بيانات!AH184=1000,بيانات!AH184,"")</f>
        <v/>
      </c>
      <c r="F184" s="33">
        <f>IF(بيانات!AH184=1000,بيانات!AI184,"")</f>
        <v/>
      </c>
      <c r="G184" s="31">
        <f>IF(بيانات!AH184=1000,بيانات!AE184,"")</f>
        <v/>
      </c>
    </row>
    <row r="185" ht="22" customHeight="1">
      <c r="A185" s="31">
        <f>IF(بيانات!AH185=1000,بيانات!A185,"")</f>
        <v/>
      </c>
      <c r="B185" s="32">
        <f>IF(بيانات!AH185=1000,بيانات!B185,"")</f>
        <v/>
      </c>
      <c r="C185" s="32">
        <f>IF(بيانات!AH185=1000,بيانات!C185,"")</f>
        <v/>
      </c>
      <c r="D185" s="33">
        <f>IF(بيانات!AH185=1000,بيانات!AF185,"")</f>
        <v/>
      </c>
      <c r="E185" s="33">
        <f>IF(بيانات!AH185=1000,بيانات!AH185,"")</f>
        <v/>
      </c>
      <c r="F185" s="33">
        <f>IF(بيانات!AH185=1000,بيانات!AI185,"")</f>
        <v/>
      </c>
      <c r="G185" s="31">
        <f>IF(بيانات!AH185=1000,بيانات!AE185,"")</f>
        <v/>
      </c>
    </row>
    <row r="186" ht="22" customHeight="1">
      <c r="A186" s="31">
        <f>IF(بيانات!AH186=1000,بيانات!A186,"")</f>
        <v/>
      </c>
      <c r="B186" s="32">
        <f>IF(بيانات!AH186=1000,بيانات!B186,"")</f>
        <v/>
      </c>
      <c r="C186" s="32">
        <f>IF(بيانات!AH186=1000,بيانات!C186,"")</f>
        <v/>
      </c>
      <c r="D186" s="33">
        <f>IF(بيانات!AH186=1000,بيانات!AF186,"")</f>
        <v/>
      </c>
      <c r="E186" s="33">
        <f>IF(بيانات!AH186=1000,بيانات!AH186,"")</f>
        <v/>
      </c>
      <c r="F186" s="33">
        <f>IF(بيانات!AH186=1000,بيانات!AI186,"")</f>
        <v/>
      </c>
      <c r="G186" s="31">
        <f>IF(بيانات!AH186=1000,بيانات!AE186,"")</f>
        <v/>
      </c>
    </row>
    <row r="187" ht="22" customHeight="1">
      <c r="A187" s="31">
        <f>IF(بيانات!AH187=1000,بيانات!A187,"")</f>
        <v/>
      </c>
      <c r="B187" s="32">
        <f>IF(بيانات!AH187=1000,بيانات!B187,"")</f>
        <v/>
      </c>
      <c r="C187" s="32">
        <f>IF(بيانات!AH187=1000,بيانات!C187,"")</f>
        <v/>
      </c>
      <c r="D187" s="33">
        <f>IF(بيانات!AH187=1000,بيانات!AF187,"")</f>
        <v/>
      </c>
      <c r="E187" s="33">
        <f>IF(بيانات!AH187=1000,بيانات!AH187,"")</f>
        <v/>
      </c>
      <c r="F187" s="33">
        <f>IF(بيانات!AH187=1000,بيانات!AI187,"")</f>
        <v/>
      </c>
      <c r="G187" s="31">
        <f>IF(بيانات!AH187=1000,بيانات!AE187,"")</f>
        <v/>
      </c>
    </row>
    <row r="188" ht="22" customHeight="1">
      <c r="A188" s="31">
        <f>IF(بيانات!AH188=1000,بيانات!A188,"")</f>
        <v/>
      </c>
      <c r="B188" s="32">
        <f>IF(بيانات!AH188=1000,بيانات!B188,"")</f>
        <v/>
      </c>
      <c r="C188" s="32">
        <f>IF(بيانات!AH188=1000,بيانات!C188,"")</f>
        <v/>
      </c>
      <c r="D188" s="33">
        <f>IF(بيانات!AH188=1000,بيانات!AF188,"")</f>
        <v/>
      </c>
      <c r="E188" s="33">
        <f>IF(بيانات!AH188=1000,بيانات!AH188,"")</f>
        <v/>
      </c>
      <c r="F188" s="33">
        <f>IF(بيانات!AH188=1000,بيانات!AI188,"")</f>
        <v/>
      </c>
      <c r="G188" s="31">
        <f>IF(بيانات!AH188=1000,بيانات!AE188,"")</f>
        <v/>
      </c>
    </row>
    <row r="189" ht="22" customHeight="1">
      <c r="A189" s="31">
        <f>IF(بيانات!AH189=1000,بيانات!A189,"")</f>
        <v/>
      </c>
      <c r="B189" s="32">
        <f>IF(بيانات!AH189=1000,بيانات!B189,"")</f>
        <v/>
      </c>
      <c r="C189" s="32">
        <f>IF(بيانات!AH189=1000,بيانات!C189,"")</f>
        <v/>
      </c>
      <c r="D189" s="33">
        <f>IF(بيانات!AH189=1000,بيانات!AF189,"")</f>
        <v/>
      </c>
      <c r="E189" s="33">
        <f>IF(بيانات!AH189=1000,بيانات!AH189,"")</f>
        <v/>
      </c>
      <c r="F189" s="33">
        <f>IF(بيانات!AH189=1000,بيانات!AI189,"")</f>
        <v/>
      </c>
      <c r="G189" s="31">
        <f>IF(بيانات!AH189=1000,بيانات!AE189,"")</f>
        <v/>
      </c>
    </row>
    <row r="190" ht="22" customHeight="1">
      <c r="A190" s="31">
        <f>IF(بيانات!AH190=1000,بيانات!A190,"")</f>
        <v/>
      </c>
      <c r="B190" s="32">
        <f>IF(بيانات!AH190=1000,بيانات!B190,"")</f>
        <v/>
      </c>
      <c r="C190" s="32">
        <f>IF(بيانات!AH190=1000,بيانات!C190,"")</f>
        <v/>
      </c>
      <c r="D190" s="33">
        <f>IF(بيانات!AH190=1000,بيانات!AF190,"")</f>
        <v/>
      </c>
      <c r="E190" s="33">
        <f>IF(بيانات!AH190=1000,بيانات!AH190,"")</f>
        <v/>
      </c>
      <c r="F190" s="33">
        <f>IF(بيانات!AH190=1000,بيانات!AI190,"")</f>
        <v/>
      </c>
      <c r="G190" s="31">
        <f>IF(بيانات!AH190=1000,بيانات!AE190,"")</f>
        <v/>
      </c>
    </row>
    <row r="191" ht="22" customHeight="1">
      <c r="A191" s="31">
        <f>IF(بيانات!AH191=1000,بيانات!A191,"")</f>
        <v/>
      </c>
      <c r="B191" s="32">
        <f>IF(بيانات!AH191=1000,بيانات!B191,"")</f>
        <v/>
      </c>
      <c r="C191" s="32">
        <f>IF(بيانات!AH191=1000,بيانات!C191,"")</f>
        <v/>
      </c>
      <c r="D191" s="33">
        <f>IF(بيانات!AH191=1000,بيانات!AF191,"")</f>
        <v/>
      </c>
      <c r="E191" s="33">
        <f>IF(بيانات!AH191=1000,بيانات!AH191,"")</f>
        <v/>
      </c>
      <c r="F191" s="33">
        <f>IF(بيانات!AH191=1000,بيانات!AI191,"")</f>
        <v/>
      </c>
      <c r="G191" s="31">
        <f>IF(بيانات!AH191=1000,بيانات!AE191,"")</f>
        <v/>
      </c>
    </row>
    <row r="192" ht="22" customHeight="1">
      <c r="A192" s="31">
        <f>IF(بيانات!AH192=1000,بيانات!A192,"")</f>
        <v/>
      </c>
      <c r="B192" s="32">
        <f>IF(بيانات!AH192=1000,بيانات!B192,"")</f>
        <v/>
      </c>
      <c r="C192" s="32">
        <f>IF(بيانات!AH192=1000,بيانات!C192,"")</f>
        <v/>
      </c>
      <c r="D192" s="33">
        <f>IF(بيانات!AH192=1000,بيانات!AF192,"")</f>
        <v/>
      </c>
      <c r="E192" s="33">
        <f>IF(بيانات!AH192=1000,بيانات!AH192,"")</f>
        <v/>
      </c>
      <c r="F192" s="33">
        <f>IF(بيانات!AH192=1000,بيانات!AI192,"")</f>
        <v/>
      </c>
      <c r="G192" s="31">
        <f>IF(بيانات!AH192=1000,بيانات!AE192,"")</f>
        <v/>
      </c>
    </row>
    <row r="193" ht="22" customHeight="1">
      <c r="A193" s="31">
        <f>IF(بيانات!AH193=1000,بيانات!A193,"")</f>
        <v/>
      </c>
      <c r="B193" s="32">
        <f>IF(بيانات!AH193=1000,بيانات!B193,"")</f>
        <v/>
      </c>
      <c r="C193" s="32">
        <f>IF(بيانات!AH193=1000,بيانات!C193,"")</f>
        <v/>
      </c>
      <c r="D193" s="33">
        <f>IF(بيانات!AH193=1000,بيانات!AF193,"")</f>
        <v/>
      </c>
      <c r="E193" s="33">
        <f>IF(بيانات!AH193=1000,بيانات!AH193,"")</f>
        <v/>
      </c>
      <c r="F193" s="33">
        <f>IF(بيانات!AH193=1000,بيانات!AI193,"")</f>
        <v/>
      </c>
      <c r="G193" s="31">
        <f>IF(بيانات!AH193=1000,بيانات!AE193,"")</f>
        <v/>
      </c>
    </row>
    <row r="194" ht="22" customHeight="1">
      <c r="A194" s="31">
        <f>IF(بيانات!AH194=1000,بيانات!A194,"")</f>
        <v/>
      </c>
      <c r="B194" s="32">
        <f>IF(بيانات!AH194=1000,بيانات!B194,"")</f>
        <v/>
      </c>
      <c r="C194" s="32">
        <f>IF(بيانات!AH194=1000,بيانات!C194,"")</f>
        <v/>
      </c>
      <c r="D194" s="33">
        <f>IF(بيانات!AH194=1000,بيانات!AF194,"")</f>
        <v/>
      </c>
      <c r="E194" s="33">
        <f>IF(بيانات!AH194=1000,بيانات!AH194,"")</f>
        <v/>
      </c>
      <c r="F194" s="33">
        <f>IF(بيانات!AH194=1000,بيانات!AI194,"")</f>
        <v/>
      </c>
      <c r="G194" s="31">
        <f>IF(بيانات!AH194=1000,بيانات!AE194,"")</f>
        <v/>
      </c>
    </row>
    <row r="195" ht="22" customHeight="1">
      <c r="A195" s="31">
        <f>IF(بيانات!AH195=1000,بيانات!A195,"")</f>
        <v/>
      </c>
      <c r="B195" s="32">
        <f>IF(بيانات!AH195=1000,بيانات!B195,"")</f>
        <v/>
      </c>
      <c r="C195" s="32">
        <f>IF(بيانات!AH195=1000,بيانات!C195,"")</f>
        <v/>
      </c>
      <c r="D195" s="33">
        <f>IF(بيانات!AH195=1000,بيانات!AF195,"")</f>
        <v/>
      </c>
      <c r="E195" s="33">
        <f>IF(بيانات!AH195=1000,بيانات!AH195,"")</f>
        <v/>
      </c>
      <c r="F195" s="33">
        <f>IF(بيانات!AH195=1000,بيانات!AI195,"")</f>
        <v/>
      </c>
      <c r="G195" s="31">
        <f>IF(بيانات!AH195=1000,بيانات!AE195,"")</f>
        <v/>
      </c>
    </row>
    <row r="196" ht="22" customHeight="1">
      <c r="A196" s="31">
        <f>IF(بيانات!AH196=1000,بيانات!A196,"")</f>
        <v/>
      </c>
      <c r="B196" s="32">
        <f>IF(بيانات!AH196=1000,بيانات!B196,"")</f>
        <v/>
      </c>
      <c r="C196" s="32">
        <f>IF(بيانات!AH196=1000,بيانات!C196,"")</f>
        <v/>
      </c>
      <c r="D196" s="33">
        <f>IF(بيانات!AH196=1000,بيانات!AF196,"")</f>
        <v/>
      </c>
      <c r="E196" s="33">
        <f>IF(بيانات!AH196=1000,بيانات!AH196,"")</f>
        <v/>
      </c>
      <c r="F196" s="33">
        <f>IF(بيانات!AH196=1000,بيانات!AI196,"")</f>
        <v/>
      </c>
      <c r="G196" s="31">
        <f>IF(بيانات!AH196=1000,بيانات!AE196,"")</f>
        <v/>
      </c>
    </row>
    <row r="197" ht="22" customHeight="1">
      <c r="A197" s="31">
        <f>IF(بيانات!AH197=1000,بيانات!A197,"")</f>
        <v/>
      </c>
      <c r="B197" s="32">
        <f>IF(بيانات!AH197=1000,بيانات!B197,"")</f>
        <v/>
      </c>
      <c r="C197" s="32">
        <f>IF(بيانات!AH197=1000,بيانات!C197,"")</f>
        <v/>
      </c>
      <c r="D197" s="33">
        <f>IF(بيانات!AH197=1000,بيانات!AF197,"")</f>
        <v/>
      </c>
      <c r="E197" s="33">
        <f>IF(بيانات!AH197=1000,بيانات!AH197,"")</f>
        <v/>
      </c>
      <c r="F197" s="33">
        <f>IF(بيانات!AH197=1000,بيانات!AI197,"")</f>
        <v/>
      </c>
      <c r="G197" s="31">
        <f>IF(بيانات!AH197=1000,بيانات!AE197,"")</f>
        <v/>
      </c>
    </row>
    <row r="198" ht="22" customHeight="1">
      <c r="A198" s="31">
        <f>IF(بيانات!AH198=1000,بيانات!A198,"")</f>
        <v/>
      </c>
      <c r="B198" s="32">
        <f>IF(بيانات!AH198=1000,بيانات!B198,"")</f>
        <v/>
      </c>
      <c r="C198" s="32">
        <f>IF(بيانات!AH198=1000,بيانات!C198,"")</f>
        <v/>
      </c>
      <c r="D198" s="33">
        <f>IF(بيانات!AH198=1000,بيانات!AF198,"")</f>
        <v/>
      </c>
      <c r="E198" s="33">
        <f>IF(بيانات!AH198=1000,بيانات!AH198,"")</f>
        <v/>
      </c>
      <c r="F198" s="33">
        <f>IF(بيانات!AH198=1000,بيانات!AI198,"")</f>
        <v/>
      </c>
      <c r="G198" s="31">
        <f>IF(بيانات!AH198=1000,بيانات!AE198,"")</f>
        <v/>
      </c>
    </row>
    <row r="199" ht="22" customHeight="1">
      <c r="A199" s="31">
        <f>IF(بيانات!AH199=1000,بيانات!A199,"")</f>
        <v/>
      </c>
      <c r="B199" s="32">
        <f>IF(بيانات!AH199=1000,بيانات!B199,"")</f>
        <v/>
      </c>
      <c r="C199" s="32">
        <f>IF(بيانات!AH199=1000,بيانات!C199,"")</f>
        <v/>
      </c>
      <c r="D199" s="33">
        <f>IF(بيانات!AH199=1000,بيانات!AF199,"")</f>
        <v/>
      </c>
      <c r="E199" s="33">
        <f>IF(بيانات!AH199=1000,بيانات!AH199,"")</f>
        <v/>
      </c>
      <c r="F199" s="33">
        <f>IF(بيانات!AH199=1000,بيانات!AI199,"")</f>
        <v/>
      </c>
      <c r="G199" s="31">
        <f>IF(بيانات!AH199=1000,بيانات!AE199,"")</f>
        <v/>
      </c>
    </row>
    <row r="200" ht="22" customHeight="1">
      <c r="A200" s="31">
        <f>IF(بيانات!AH200=1000,بيانات!A200,"")</f>
        <v/>
      </c>
      <c r="B200" s="32">
        <f>IF(بيانات!AH200=1000,بيانات!B200,"")</f>
        <v/>
      </c>
      <c r="C200" s="32">
        <f>IF(بيانات!AH200=1000,بيانات!C200,"")</f>
        <v/>
      </c>
      <c r="D200" s="33">
        <f>IF(بيانات!AH200=1000,بيانات!AF200,"")</f>
        <v/>
      </c>
      <c r="E200" s="33">
        <f>IF(بيانات!AH200=1000,بيانات!AH200,"")</f>
        <v/>
      </c>
      <c r="F200" s="33">
        <f>IF(بيانات!AH200=1000,بيانات!AI200,"")</f>
        <v/>
      </c>
      <c r="G200" s="31">
        <f>IF(بيانات!AH200=1000,بيانات!AE200,"")</f>
        <v/>
      </c>
    </row>
    <row r="201" ht="22" customHeight="1">
      <c r="A201" s="31">
        <f>IF(بيانات!AH201=1000,بيانات!A201,"")</f>
        <v/>
      </c>
      <c r="B201" s="32">
        <f>IF(بيانات!AH201=1000,بيانات!B201,"")</f>
        <v/>
      </c>
      <c r="C201" s="32">
        <f>IF(بيانات!AH201=1000,بيانات!C201,"")</f>
        <v/>
      </c>
      <c r="D201" s="33">
        <f>IF(بيانات!AH201=1000,بيانات!AF201,"")</f>
        <v/>
      </c>
      <c r="E201" s="33">
        <f>IF(بيانات!AH201=1000,بيانات!AH201,"")</f>
        <v/>
      </c>
      <c r="F201" s="33">
        <f>IF(بيانات!AH201=1000,بيانات!AI201,"")</f>
        <v/>
      </c>
      <c r="G201" s="31">
        <f>IF(بيانات!AH201=1000,بيانات!AE201,"")</f>
        <v/>
      </c>
    </row>
    <row r="202" ht="22" customHeight="1">
      <c r="A202" s="31">
        <f>IF(بيانات!AH202=1000,بيانات!A202,"")</f>
        <v/>
      </c>
      <c r="B202" s="32">
        <f>IF(بيانات!AH202=1000,بيانات!B202,"")</f>
        <v/>
      </c>
      <c r="C202" s="32">
        <f>IF(بيانات!AH202=1000,بيانات!C202,"")</f>
        <v/>
      </c>
      <c r="D202" s="33">
        <f>IF(بيانات!AH202=1000,بيانات!AF202,"")</f>
        <v/>
      </c>
      <c r="E202" s="33">
        <f>IF(بيانات!AH202=1000,بيانات!AH202,"")</f>
        <v/>
      </c>
      <c r="F202" s="33">
        <f>IF(بيانات!AH202=1000,بيانات!AI202,"")</f>
        <v/>
      </c>
      <c r="G202" s="31">
        <f>IF(بيانات!AH202=1000,بيانات!AE202,"")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8" customWidth="1" min="4" max="4"/>
    <col width="16" customWidth="1" min="5" max="5"/>
    <col width="18" customWidth="1" min="6" max="6"/>
    <col width="14" customWidth="1" min="7" max="7"/>
    <col width="14" customWidth="1" min="8" max="8"/>
    <col width="22" customWidth="1" min="9" max="9"/>
  </cols>
  <sheetData>
    <row r="1" ht="43.5" customHeight="1">
      <c r="A1" s="20" t="inlineStr">
        <is>
          <t>🔄  سجل تجديد الاشتراكات  —  نادي RCS</t>
        </is>
      </c>
    </row>
    <row r="2" ht="36" customHeight="1">
      <c r="A2" s="2" t="inlineStr">
        <is>
          <t>رقم الملف</t>
        </is>
      </c>
      <c r="B2" s="2" t="inlineStr">
        <is>
          <t>اللقب</t>
        </is>
      </c>
      <c r="C2" s="2" t="inlineStr">
        <is>
          <t>الاسم</t>
        </is>
      </c>
      <c r="D2" s="2" t="inlineStr">
        <is>
          <t>نهاية الاشتراك السابق</t>
        </is>
      </c>
      <c r="E2" s="2" t="inlineStr">
        <is>
          <t>تاريخ التجديد</t>
        </is>
      </c>
      <c r="F2" s="2" t="inlineStr">
        <is>
          <t>نهاية الشهر الجديد</t>
        </is>
      </c>
      <c r="G2" s="2" t="inlineStr">
        <is>
          <t>مبلغ التجديد</t>
        </is>
      </c>
      <c r="H2" s="2" t="inlineStr">
        <is>
          <t>حالة الدفع</t>
        </is>
      </c>
      <c r="I2" s="2" t="inlineStr">
        <is>
          <t>حالة التجديد</t>
        </is>
      </c>
    </row>
    <row r="3" ht="22" customHeight="1">
      <c r="A3" s="31">
        <f>IF(بيانات!B3&lt;&gt;"",بيانات!A3,"")</f>
        <v/>
      </c>
      <c r="B3" s="34">
        <f>IF(بيانات!B3&lt;&gt;"",بيانات!B3,"")</f>
        <v/>
      </c>
      <c r="C3" s="34">
        <f>IF(بيانات!B3&lt;&gt;"",بيانات!C3,"")</f>
        <v/>
      </c>
      <c r="D3" s="35">
        <f>IF(بيانات!B3&lt;&gt;"",بيانات!Z3,"")</f>
        <v/>
      </c>
      <c r="E3" s="35" t="n"/>
      <c r="F3" s="35">
        <f>IF(E3="","",E3+30)</f>
        <v/>
      </c>
      <c r="G3" s="33" t="n"/>
      <c r="H3" s="31">
        <f>IF(بيانات!B3&lt;&gt;"",بيانات!AE3,"")</f>
        <v/>
      </c>
      <c r="I3" s="34">
        <f>IF(بيانات!B3&lt;&gt;"",بيانات!AJ3,"")</f>
        <v/>
      </c>
    </row>
    <row r="4" ht="22" customHeight="1">
      <c r="A4" s="31">
        <f>IF(بيانات!B4&lt;&gt;"",بيانات!A4,"")</f>
        <v/>
      </c>
      <c r="B4" s="34">
        <f>IF(بيانات!B4&lt;&gt;"",بيانات!B4,"")</f>
        <v/>
      </c>
      <c r="C4" s="34">
        <f>IF(بيانات!B4&lt;&gt;"",بيانات!C4,"")</f>
        <v/>
      </c>
      <c r="D4" s="35">
        <f>IF(بيانات!B4&lt;&gt;"",بيانات!Z4,"")</f>
        <v/>
      </c>
      <c r="E4" s="35" t="n"/>
      <c r="F4" s="35">
        <f>IF(E4="","",E4+30)</f>
        <v/>
      </c>
      <c r="G4" s="33" t="n"/>
      <c r="H4" s="31">
        <f>IF(بيانات!B4&lt;&gt;"",بيانات!AE4,"")</f>
        <v/>
      </c>
      <c r="I4" s="34">
        <f>IF(بيانات!B4&lt;&gt;"",بيانات!AJ4,"")</f>
        <v/>
      </c>
    </row>
    <row r="5" ht="22" customHeight="1">
      <c r="A5" s="31">
        <f>IF(بيانات!B5&lt;&gt;"",بيانات!A5,"")</f>
        <v/>
      </c>
      <c r="B5" s="34">
        <f>IF(بيانات!B5&lt;&gt;"",بيانات!B5,"")</f>
        <v/>
      </c>
      <c r="C5" s="34">
        <f>IF(بيانات!B5&lt;&gt;"",بيانات!C5,"")</f>
        <v/>
      </c>
      <c r="D5" s="35">
        <f>IF(بيانات!B5&lt;&gt;"",بيانات!Z5,"")</f>
        <v/>
      </c>
      <c r="E5" s="35" t="n"/>
      <c r="F5" s="35">
        <f>IF(E5="","",E5+30)</f>
        <v/>
      </c>
      <c r="G5" s="33" t="n"/>
      <c r="H5" s="31">
        <f>IF(بيانات!B5&lt;&gt;"",بيانات!AE5,"")</f>
        <v/>
      </c>
      <c r="I5" s="34">
        <f>IF(بيانات!B5&lt;&gt;"",بيانات!AJ5,"")</f>
        <v/>
      </c>
    </row>
    <row r="6" ht="22" customHeight="1">
      <c r="A6" s="31">
        <f>IF(بيانات!B6&lt;&gt;"",بيانات!A6,"")</f>
        <v/>
      </c>
      <c r="B6" s="34">
        <f>IF(بيانات!B6&lt;&gt;"",بيانات!B6,"")</f>
        <v/>
      </c>
      <c r="C6" s="34">
        <f>IF(بيانات!B6&lt;&gt;"",بيانات!C6,"")</f>
        <v/>
      </c>
      <c r="D6" s="35">
        <f>IF(بيانات!B6&lt;&gt;"",بيانات!Z6,"")</f>
        <v/>
      </c>
      <c r="E6" s="35" t="n"/>
      <c r="F6" s="35">
        <f>IF(E6="","",E6+30)</f>
        <v/>
      </c>
      <c r="G6" s="33" t="n"/>
      <c r="H6" s="31">
        <f>IF(بيانات!B6&lt;&gt;"",بيانات!AE6,"")</f>
        <v/>
      </c>
      <c r="I6" s="34">
        <f>IF(بيانات!B6&lt;&gt;"",بيانات!AJ6,"")</f>
        <v/>
      </c>
    </row>
    <row r="7" ht="22" customHeight="1">
      <c r="A7" s="31">
        <f>IF(بيانات!B7&lt;&gt;"",بيانات!A7,"")</f>
        <v/>
      </c>
      <c r="B7" s="34">
        <f>IF(بيانات!B7&lt;&gt;"",بيانات!B7,"")</f>
        <v/>
      </c>
      <c r="C7" s="34">
        <f>IF(بيانات!B7&lt;&gt;"",بيانات!C7,"")</f>
        <v/>
      </c>
      <c r="D7" s="35">
        <f>IF(بيانات!B7&lt;&gt;"",بيانات!Z7,"")</f>
        <v/>
      </c>
      <c r="E7" s="35" t="n"/>
      <c r="F7" s="35">
        <f>IF(E7="","",E7+30)</f>
        <v/>
      </c>
      <c r="G7" s="33" t="n"/>
      <c r="H7" s="31">
        <f>IF(بيانات!B7&lt;&gt;"",بيانات!AE7,"")</f>
        <v/>
      </c>
      <c r="I7" s="34">
        <f>IF(بيانات!B7&lt;&gt;"",بيانات!AJ7,"")</f>
        <v/>
      </c>
    </row>
    <row r="8" ht="22" customHeight="1">
      <c r="A8" s="31">
        <f>IF(بيانات!B8&lt;&gt;"",بيانات!A8,"")</f>
        <v/>
      </c>
      <c r="B8" s="34">
        <f>IF(بيانات!B8&lt;&gt;"",بيانات!B8,"")</f>
        <v/>
      </c>
      <c r="C8" s="34">
        <f>IF(بيانات!B8&lt;&gt;"",بيانات!C8,"")</f>
        <v/>
      </c>
      <c r="D8" s="35">
        <f>IF(بيانات!B8&lt;&gt;"",بيانات!Z8,"")</f>
        <v/>
      </c>
      <c r="E8" s="35" t="n"/>
      <c r="F8" s="35">
        <f>IF(E8="","",E8+30)</f>
        <v/>
      </c>
      <c r="G8" s="33" t="n"/>
      <c r="H8" s="31">
        <f>IF(بيانات!B8&lt;&gt;"",بيانات!AE8,"")</f>
        <v/>
      </c>
      <c r="I8" s="34">
        <f>IF(بيانات!B8&lt;&gt;"",بيانات!AJ8,"")</f>
        <v/>
      </c>
    </row>
    <row r="9" ht="22" customHeight="1">
      <c r="A9" s="31">
        <f>IF(بيانات!B9&lt;&gt;"",بيانات!A9,"")</f>
        <v/>
      </c>
      <c r="B9" s="34">
        <f>IF(بيانات!B9&lt;&gt;"",بيانات!B9,"")</f>
        <v/>
      </c>
      <c r="C9" s="34">
        <f>IF(بيانات!B9&lt;&gt;"",بيانات!C9,"")</f>
        <v/>
      </c>
      <c r="D9" s="35">
        <f>IF(بيانات!B9&lt;&gt;"",بيانات!Z9,"")</f>
        <v/>
      </c>
      <c r="E9" s="35" t="n"/>
      <c r="F9" s="35">
        <f>IF(E9="","",E9+30)</f>
        <v/>
      </c>
      <c r="G9" s="33" t="n"/>
      <c r="H9" s="31">
        <f>IF(بيانات!B9&lt;&gt;"",بيانات!AE9,"")</f>
        <v/>
      </c>
      <c r="I9" s="34">
        <f>IF(بيانات!B9&lt;&gt;"",بيانات!AJ9,"")</f>
        <v/>
      </c>
    </row>
    <row r="10" ht="22" customHeight="1">
      <c r="A10" s="31">
        <f>IF(بيانات!B10&lt;&gt;"",بيانات!A10,"")</f>
        <v/>
      </c>
      <c r="B10" s="34">
        <f>IF(بيانات!B10&lt;&gt;"",بيانات!B10,"")</f>
        <v/>
      </c>
      <c r="C10" s="34">
        <f>IF(بيانات!B10&lt;&gt;"",بيانات!C10,"")</f>
        <v/>
      </c>
      <c r="D10" s="35">
        <f>IF(بيانات!B10&lt;&gt;"",بيانات!Z10,"")</f>
        <v/>
      </c>
      <c r="E10" s="35" t="n"/>
      <c r="F10" s="35">
        <f>IF(E10="","",E10+30)</f>
        <v/>
      </c>
      <c r="G10" s="33" t="n"/>
      <c r="H10" s="31">
        <f>IF(بيانات!B10&lt;&gt;"",بيانات!AE10,"")</f>
        <v/>
      </c>
      <c r="I10" s="34">
        <f>IF(بيانات!B10&lt;&gt;"",بيانات!AJ10,"")</f>
        <v/>
      </c>
    </row>
    <row r="11" ht="22" customHeight="1">
      <c r="A11" s="31">
        <f>IF(بيانات!B11&lt;&gt;"",بيانات!A11,"")</f>
        <v/>
      </c>
      <c r="B11" s="34">
        <f>IF(بيانات!B11&lt;&gt;"",بيانات!B11,"")</f>
        <v/>
      </c>
      <c r="C11" s="34">
        <f>IF(بيانات!B11&lt;&gt;"",بيانات!C11,"")</f>
        <v/>
      </c>
      <c r="D11" s="35">
        <f>IF(بيانات!B11&lt;&gt;"",بيانات!Z11,"")</f>
        <v/>
      </c>
      <c r="E11" s="35" t="n"/>
      <c r="F11" s="35">
        <f>IF(E11="","",E11+30)</f>
        <v/>
      </c>
      <c r="G11" s="33" t="n"/>
      <c r="H11" s="31">
        <f>IF(بيانات!B11&lt;&gt;"",بيانات!AE11,"")</f>
        <v/>
      </c>
      <c r="I11" s="34">
        <f>IF(بيانات!B11&lt;&gt;"",بيانات!AJ11,"")</f>
        <v/>
      </c>
    </row>
    <row r="12" ht="22" customHeight="1">
      <c r="A12" s="31">
        <f>IF(بيانات!B12&lt;&gt;"",بيانات!A12,"")</f>
        <v/>
      </c>
      <c r="B12" s="34">
        <f>IF(بيانات!B12&lt;&gt;"",بيانات!B12,"")</f>
        <v/>
      </c>
      <c r="C12" s="34">
        <f>IF(بيانات!B12&lt;&gt;"",بيانات!C12,"")</f>
        <v/>
      </c>
      <c r="D12" s="35">
        <f>IF(بيانات!B12&lt;&gt;"",بيانات!Z12,"")</f>
        <v/>
      </c>
      <c r="E12" s="35" t="n"/>
      <c r="F12" s="35">
        <f>IF(E12="","",E12+30)</f>
        <v/>
      </c>
      <c r="G12" s="33" t="n"/>
      <c r="H12" s="31">
        <f>IF(بيانات!B12&lt;&gt;"",بيانات!AE12,"")</f>
        <v/>
      </c>
      <c r="I12" s="34">
        <f>IF(بيانات!B12&lt;&gt;"",بيانات!AJ12,"")</f>
        <v/>
      </c>
    </row>
    <row r="13" ht="22" customHeight="1">
      <c r="A13" s="31">
        <f>IF(بيانات!B13&lt;&gt;"",بيانات!A13,"")</f>
        <v/>
      </c>
      <c r="B13" s="34">
        <f>IF(بيانات!B13&lt;&gt;"",بيانات!B13,"")</f>
        <v/>
      </c>
      <c r="C13" s="34">
        <f>IF(بيانات!B13&lt;&gt;"",بيانات!C13,"")</f>
        <v/>
      </c>
      <c r="D13" s="35">
        <f>IF(بيانات!B13&lt;&gt;"",بيانات!Z13,"")</f>
        <v/>
      </c>
      <c r="E13" s="35" t="n"/>
      <c r="F13" s="35">
        <f>IF(E13="","",E13+30)</f>
        <v/>
      </c>
      <c r="G13" s="33" t="n"/>
      <c r="H13" s="31">
        <f>IF(بيانات!B13&lt;&gt;"",بيانات!AE13,"")</f>
        <v/>
      </c>
      <c r="I13" s="34">
        <f>IF(بيانات!B13&lt;&gt;"",بيانات!AJ13,"")</f>
        <v/>
      </c>
    </row>
    <row r="14" ht="22" customHeight="1">
      <c r="A14" s="31">
        <f>IF(بيانات!B14&lt;&gt;"",بيانات!A14,"")</f>
        <v/>
      </c>
      <c r="B14" s="34">
        <f>IF(بيانات!B14&lt;&gt;"",بيانات!B14,"")</f>
        <v/>
      </c>
      <c r="C14" s="34">
        <f>IF(بيانات!B14&lt;&gt;"",بيانات!C14,"")</f>
        <v/>
      </c>
      <c r="D14" s="35">
        <f>IF(بيانات!B14&lt;&gt;"",بيانات!Z14,"")</f>
        <v/>
      </c>
      <c r="E14" s="35" t="n"/>
      <c r="F14" s="35">
        <f>IF(E14="","",E14+30)</f>
        <v/>
      </c>
      <c r="G14" s="33" t="n"/>
      <c r="H14" s="31">
        <f>IF(بيانات!B14&lt;&gt;"",بيانات!AE14,"")</f>
        <v/>
      </c>
      <c r="I14" s="34">
        <f>IF(بيانات!B14&lt;&gt;"",بيانات!AJ14,"")</f>
        <v/>
      </c>
    </row>
    <row r="15" ht="22" customHeight="1">
      <c r="A15" s="31">
        <f>IF(بيانات!B15&lt;&gt;"",بيانات!A15,"")</f>
        <v/>
      </c>
      <c r="B15" s="34">
        <f>IF(بيانات!B15&lt;&gt;"",بيانات!B15,"")</f>
        <v/>
      </c>
      <c r="C15" s="34">
        <f>IF(بيانات!B15&lt;&gt;"",بيانات!C15,"")</f>
        <v/>
      </c>
      <c r="D15" s="35">
        <f>IF(بيانات!B15&lt;&gt;"",بيانات!Z15,"")</f>
        <v/>
      </c>
      <c r="E15" s="35" t="n"/>
      <c r="F15" s="35">
        <f>IF(E15="","",E15+30)</f>
        <v/>
      </c>
      <c r="G15" s="33" t="n"/>
      <c r="H15" s="31">
        <f>IF(بيانات!B15&lt;&gt;"",بيانات!AE15,"")</f>
        <v/>
      </c>
      <c r="I15" s="34">
        <f>IF(بيانات!B15&lt;&gt;"",بيانات!AJ15,"")</f>
        <v/>
      </c>
    </row>
    <row r="16" ht="22" customHeight="1">
      <c r="A16" s="31">
        <f>IF(بيانات!B16&lt;&gt;"",بيانات!A16,"")</f>
        <v/>
      </c>
      <c r="B16" s="34">
        <f>IF(بيانات!B16&lt;&gt;"",بيانات!B16,"")</f>
        <v/>
      </c>
      <c r="C16" s="34">
        <f>IF(بيانات!B16&lt;&gt;"",بيانات!C16,"")</f>
        <v/>
      </c>
      <c r="D16" s="35">
        <f>IF(بيانات!B16&lt;&gt;"",بيانات!Z16,"")</f>
        <v/>
      </c>
      <c r="E16" s="35" t="n"/>
      <c r="F16" s="35">
        <f>IF(E16="","",E16+30)</f>
        <v/>
      </c>
      <c r="G16" s="33" t="n"/>
      <c r="H16" s="31">
        <f>IF(بيانات!B16&lt;&gt;"",بيانات!AE16,"")</f>
        <v/>
      </c>
      <c r="I16" s="34">
        <f>IF(بيانات!B16&lt;&gt;"",بيانات!AJ16,"")</f>
        <v/>
      </c>
    </row>
    <row r="17" ht="22" customHeight="1">
      <c r="A17" s="31">
        <f>IF(بيانات!B17&lt;&gt;"",بيانات!A17,"")</f>
        <v/>
      </c>
      <c r="B17" s="34">
        <f>IF(بيانات!B17&lt;&gt;"",بيانات!B17,"")</f>
        <v/>
      </c>
      <c r="C17" s="34">
        <f>IF(بيانات!B17&lt;&gt;"",بيانات!C17,"")</f>
        <v/>
      </c>
      <c r="D17" s="35">
        <f>IF(بيانات!B17&lt;&gt;"",بيانات!Z17,"")</f>
        <v/>
      </c>
      <c r="E17" s="35" t="n"/>
      <c r="F17" s="35">
        <f>IF(E17="","",E17+30)</f>
        <v/>
      </c>
      <c r="G17" s="33" t="n"/>
      <c r="H17" s="31">
        <f>IF(بيانات!B17&lt;&gt;"",بيانات!AE17,"")</f>
        <v/>
      </c>
      <c r="I17" s="34">
        <f>IF(بيانات!B17&lt;&gt;"",بيانات!AJ17,"")</f>
        <v/>
      </c>
    </row>
    <row r="18" ht="22" customHeight="1">
      <c r="A18" s="31">
        <f>IF(بيانات!B18&lt;&gt;"",بيانات!A18,"")</f>
        <v/>
      </c>
      <c r="B18" s="34">
        <f>IF(بيانات!B18&lt;&gt;"",بيانات!B18,"")</f>
        <v/>
      </c>
      <c r="C18" s="34">
        <f>IF(بيانات!B18&lt;&gt;"",بيانات!C18,"")</f>
        <v/>
      </c>
      <c r="D18" s="35">
        <f>IF(بيانات!B18&lt;&gt;"",بيانات!Z18,"")</f>
        <v/>
      </c>
      <c r="E18" s="35" t="n"/>
      <c r="F18" s="35">
        <f>IF(E18="","",E18+30)</f>
        <v/>
      </c>
      <c r="G18" s="33" t="n"/>
      <c r="H18" s="31">
        <f>IF(بيانات!B18&lt;&gt;"",بيانات!AE18,"")</f>
        <v/>
      </c>
      <c r="I18" s="34">
        <f>IF(بيانات!B18&lt;&gt;"",بيانات!AJ18,"")</f>
        <v/>
      </c>
    </row>
    <row r="19" ht="22" customHeight="1">
      <c r="A19" s="31">
        <f>IF(بيانات!B19&lt;&gt;"",بيانات!A19,"")</f>
        <v/>
      </c>
      <c r="B19" s="34">
        <f>IF(بيانات!B19&lt;&gt;"",بيانات!B19,"")</f>
        <v/>
      </c>
      <c r="C19" s="34">
        <f>IF(بيانات!B19&lt;&gt;"",بيانات!C19,"")</f>
        <v/>
      </c>
      <c r="D19" s="35">
        <f>IF(بيانات!B19&lt;&gt;"",بيانات!Z19,"")</f>
        <v/>
      </c>
      <c r="E19" s="35" t="n"/>
      <c r="F19" s="35">
        <f>IF(E19="","",E19+30)</f>
        <v/>
      </c>
      <c r="G19" s="33" t="n"/>
      <c r="H19" s="31">
        <f>IF(بيانات!B19&lt;&gt;"",بيانات!AE19,"")</f>
        <v/>
      </c>
      <c r="I19" s="34">
        <f>IF(بيانات!B19&lt;&gt;"",بيانات!AJ19,"")</f>
        <v/>
      </c>
    </row>
    <row r="20" ht="22" customHeight="1">
      <c r="A20" s="31">
        <f>IF(بيانات!B20&lt;&gt;"",بيانات!A20,"")</f>
        <v/>
      </c>
      <c r="B20" s="34">
        <f>IF(بيانات!B20&lt;&gt;"",بيانات!B20,"")</f>
        <v/>
      </c>
      <c r="C20" s="34">
        <f>IF(بيانات!B20&lt;&gt;"",بيانات!C20,"")</f>
        <v/>
      </c>
      <c r="D20" s="35">
        <f>IF(بيانات!B20&lt;&gt;"",بيانات!Z20,"")</f>
        <v/>
      </c>
      <c r="E20" s="35" t="n"/>
      <c r="F20" s="35">
        <f>IF(E20="","",E20+30)</f>
        <v/>
      </c>
      <c r="G20" s="33" t="n"/>
      <c r="H20" s="31">
        <f>IF(بيانات!B20&lt;&gt;"",بيانات!AE20,"")</f>
        <v/>
      </c>
      <c r="I20" s="34">
        <f>IF(بيانات!B20&lt;&gt;"",بيانات!AJ20,"")</f>
        <v/>
      </c>
    </row>
    <row r="21" ht="22" customHeight="1">
      <c r="A21" s="31">
        <f>IF(بيانات!B21&lt;&gt;"",بيانات!A21,"")</f>
        <v/>
      </c>
      <c r="B21" s="34">
        <f>IF(بيانات!B21&lt;&gt;"",بيانات!B21,"")</f>
        <v/>
      </c>
      <c r="C21" s="34">
        <f>IF(بيانات!B21&lt;&gt;"",بيانات!C21,"")</f>
        <v/>
      </c>
      <c r="D21" s="35">
        <f>IF(بيانات!B21&lt;&gt;"",بيانات!Z21,"")</f>
        <v/>
      </c>
      <c r="E21" s="35" t="n"/>
      <c r="F21" s="35">
        <f>IF(E21="","",E21+30)</f>
        <v/>
      </c>
      <c r="G21" s="33" t="n"/>
      <c r="H21" s="31">
        <f>IF(بيانات!B21&lt;&gt;"",بيانات!AE21,"")</f>
        <v/>
      </c>
      <c r="I21" s="34">
        <f>IF(بيانات!B21&lt;&gt;"",بيانات!AJ21,"")</f>
        <v/>
      </c>
    </row>
    <row r="22" ht="22" customHeight="1">
      <c r="A22" s="31">
        <f>IF(بيانات!B22&lt;&gt;"",بيانات!A22,"")</f>
        <v/>
      </c>
      <c r="B22" s="34">
        <f>IF(بيانات!B22&lt;&gt;"",بيانات!B22,"")</f>
        <v/>
      </c>
      <c r="C22" s="34">
        <f>IF(بيانات!B22&lt;&gt;"",بيانات!C22,"")</f>
        <v/>
      </c>
      <c r="D22" s="35">
        <f>IF(بيانات!B22&lt;&gt;"",بيانات!Z22,"")</f>
        <v/>
      </c>
      <c r="E22" s="35" t="n"/>
      <c r="F22" s="35">
        <f>IF(E22="","",E22+30)</f>
        <v/>
      </c>
      <c r="G22" s="33" t="n"/>
      <c r="H22" s="31">
        <f>IF(بيانات!B22&lt;&gt;"",بيانات!AE22,"")</f>
        <v/>
      </c>
      <c r="I22" s="34">
        <f>IF(بيانات!B22&lt;&gt;"",بيانات!AJ22,"")</f>
        <v/>
      </c>
    </row>
    <row r="23" ht="22" customHeight="1">
      <c r="A23" s="31">
        <f>IF(بيانات!B23&lt;&gt;"",بيانات!A23,"")</f>
        <v/>
      </c>
      <c r="B23" s="34">
        <f>IF(بيانات!B23&lt;&gt;"",بيانات!B23,"")</f>
        <v/>
      </c>
      <c r="C23" s="34">
        <f>IF(بيانات!B23&lt;&gt;"",بيانات!C23,"")</f>
        <v/>
      </c>
      <c r="D23" s="35">
        <f>IF(بيانات!B23&lt;&gt;"",بيانات!Z23,"")</f>
        <v/>
      </c>
      <c r="E23" s="35" t="n"/>
      <c r="F23" s="35">
        <f>IF(E23="","",E23+30)</f>
        <v/>
      </c>
      <c r="G23" s="33" t="n"/>
      <c r="H23" s="31">
        <f>IF(بيانات!B23&lt;&gt;"",بيانات!AE23,"")</f>
        <v/>
      </c>
      <c r="I23" s="34">
        <f>IF(بيانات!B23&lt;&gt;"",بيانات!AJ23,"")</f>
        <v/>
      </c>
    </row>
    <row r="24" ht="22" customHeight="1">
      <c r="A24" s="31">
        <f>IF(بيانات!B24&lt;&gt;"",بيانات!A24,"")</f>
        <v/>
      </c>
      <c r="B24" s="34">
        <f>IF(بيانات!B24&lt;&gt;"",بيانات!B24,"")</f>
        <v/>
      </c>
      <c r="C24" s="34">
        <f>IF(بيانات!B24&lt;&gt;"",بيانات!C24,"")</f>
        <v/>
      </c>
      <c r="D24" s="35">
        <f>IF(بيانات!B24&lt;&gt;"",بيانات!Z24,"")</f>
        <v/>
      </c>
      <c r="E24" s="35" t="n"/>
      <c r="F24" s="35">
        <f>IF(E24="","",E24+30)</f>
        <v/>
      </c>
      <c r="G24" s="33" t="n"/>
      <c r="H24" s="31">
        <f>IF(بيانات!B24&lt;&gt;"",بيانات!AE24,"")</f>
        <v/>
      </c>
      <c r="I24" s="34">
        <f>IF(بيانات!B24&lt;&gt;"",بيانات!AJ24,"")</f>
        <v/>
      </c>
    </row>
    <row r="25" ht="22" customHeight="1">
      <c r="A25" s="31">
        <f>IF(بيانات!B25&lt;&gt;"",بيانات!A25,"")</f>
        <v/>
      </c>
      <c r="B25" s="34">
        <f>IF(بيانات!B25&lt;&gt;"",بيانات!B25,"")</f>
        <v/>
      </c>
      <c r="C25" s="34">
        <f>IF(بيانات!B25&lt;&gt;"",بيانات!C25,"")</f>
        <v/>
      </c>
      <c r="D25" s="35">
        <f>IF(بيانات!B25&lt;&gt;"",بيانات!Z25,"")</f>
        <v/>
      </c>
      <c r="E25" s="35" t="n"/>
      <c r="F25" s="35">
        <f>IF(E25="","",E25+30)</f>
        <v/>
      </c>
      <c r="G25" s="33" t="n"/>
      <c r="H25" s="31">
        <f>IF(بيانات!B25&lt;&gt;"",بيانات!AE25,"")</f>
        <v/>
      </c>
      <c r="I25" s="34">
        <f>IF(بيانات!B25&lt;&gt;"",بيانات!AJ25,"")</f>
        <v/>
      </c>
    </row>
    <row r="26" ht="22" customHeight="1">
      <c r="A26" s="31">
        <f>IF(بيانات!B26&lt;&gt;"",بيانات!A26,"")</f>
        <v/>
      </c>
      <c r="B26" s="34">
        <f>IF(بيانات!B26&lt;&gt;"",بيانات!B26,"")</f>
        <v/>
      </c>
      <c r="C26" s="34">
        <f>IF(بيانات!B26&lt;&gt;"",بيانات!C26,"")</f>
        <v/>
      </c>
      <c r="D26" s="35">
        <f>IF(بيانات!B26&lt;&gt;"",بيانات!Z26,"")</f>
        <v/>
      </c>
      <c r="E26" s="35" t="n"/>
      <c r="F26" s="35">
        <f>IF(E26="","",E26+30)</f>
        <v/>
      </c>
      <c r="G26" s="33" t="n"/>
      <c r="H26" s="31">
        <f>IF(بيانات!B26&lt;&gt;"",بيانات!AE26,"")</f>
        <v/>
      </c>
      <c r="I26" s="34">
        <f>IF(بيانات!B26&lt;&gt;"",بيانات!AJ26,"")</f>
        <v/>
      </c>
    </row>
    <row r="27" ht="22" customHeight="1">
      <c r="A27" s="31">
        <f>IF(بيانات!B27&lt;&gt;"",بيانات!A27,"")</f>
        <v/>
      </c>
      <c r="B27" s="34">
        <f>IF(بيانات!B27&lt;&gt;"",بيانات!B27,"")</f>
        <v/>
      </c>
      <c r="C27" s="34">
        <f>IF(بيانات!B27&lt;&gt;"",بيانات!C27,"")</f>
        <v/>
      </c>
      <c r="D27" s="35">
        <f>IF(بيانات!B27&lt;&gt;"",بيانات!Z27,"")</f>
        <v/>
      </c>
      <c r="E27" s="35" t="n"/>
      <c r="F27" s="35">
        <f>IF(E27="","",E27+30)</f>
        <v/>
      </c>
      <c r="G27" s="33" t="n"/>
      <c r="H27" s="31">
        <f>IF(بيانات!B27&lt;&gt;"",بيانات!AE27,"")</f>
        <v/>
      </c>
      <c r="I27" s="34">
        <f>IF(بيانات!B27&lt;&gt;"",بيانات!AJ27,"")</f>
        <v/>
      </c>
    </row>
    <row r="28" ht="22" customHeight="1">
      <c r="A28" s="31">
        <f>IF(بيانات!B28&lt;&gt;"",بيانات!A28,"")</f>
        <v/>
      </c>
      <c r="B28" s="34">
        <f>IF(بيانات!B28&lt;&gt;"",بيانات!B28,"")</f>
        <v/>
      </c>
      <c r="C28" s="34">
        <f>IF(بيانات!B28&lt;&gt;"",بيانات!C28,"")</f>
        <v/>
      </c>
      <c r="D28" s="35">
        <f>IF(بيانات!B28&lt;&gt;"",بيانات!Z28,"")</f>
        <v/>
      </c>
      <c r="E28" s="35" t="n"/>
      <c r="F28" s="35">
        <f>IF(E28="","",E28+30)</f>
        <v/>
      </c>
      <c r="G28" s="33" t="n"/>
      <c r="H28" s="31">
        <f>IF(بيانات!B28&lt;&gt;"",بيانات!AE28,"")</f>
        <v/>
      </c>
      <c r="I28" s="34">
        <f>IF(بيانات!B28&lt;&gt;"",بيانات!AJ28,"")</f>
        <v/>
      </c>
    </row>
    <row r="29" ht="22" customHeight="1">
      <c r="A29" s="31">
        <f>IF(بيانات!B29&lt;&gt;"",بيانات!A29,"")</f>
        <v/>
      </c>
      <c r="B29" s="34">
        <f>IF(بيانات!B29&lt;&gt;"",بيانات!B29,"")</f>
        <v/>
      </c>
      <c r="C29" s="34">
        <f>IF(بيانات!B29&lt;&gt;"",بيانات!C29,"")</f>
        <v/>
      </c>
      <c r="D29" s="35">
        <f>IF(بيانات!B29&lt;&gt;"",بيانات!Z29,"")</f>
        <v/>
      </c>
      <c r="E29" s="35" t="n"/>
      <c r="F29" s="35">
        <f>IF(E29="","",E29+30)</f>
        <v/>
      </c>
      <c r="G29" s="33" t="n"/>
      <c r="H29" s="31">
        <f>IF(بيانات!B29&lt;&gt;"",بيانات!AE29,"")</f>
        <v/>
      </c>
      <c r="I29" s="34">
        <f>IF(بيانات!B29&lt;&gt;"",بيانات!AJ29,"")</f>
        <v/>
      </c>
    </row>
    <row r="30" ht="22" customHeight="1">
      <c r="A30" s="31">
        <f>IF(بيانات!B30&lt;&gt;"",بيانات!A30,"")</f>
        <v/>
      </c>
      <c r="B30" s="34">
        <f>IF(بيانات!B30&lt;&gt;"",بيانات!B30,"")</f>
        <v/>
      </c>
      <c r="C30" s="34">
        <f>IF(بيانات!B30&lt;&gt;"",بيانات!C30,"")</f>
        <v/>
      </c>
      <c r="D30" s="35">
        <f>IF(بيانات!B30&lt;&gt;"",بيانات!Z30,"")</f>
        <v/>
      </c>
      <c r="E30" s="35" t="n"/>
      <c r="F30" s="35">
        <f>IF(E30="","",E30+30)</f>
        <v/>
      </c>
      <c r="G30" s="33" t="n"/>
      <c r="H30" s="31">
        <f>IF(بيانات!B30&lt;&gt;"",بيانات!AE30,"")</f>
        <v/>
      </c>
      <c r="I30" s="34">
        <f>IF(بيانات!B30&lt;&gt;"",بيانات!AJ30,"")</f>
        <v/>
      </c>
    </row>
    <row r="31" ht="22" customHeight="1">
      <c r="A31" s="31">
        <f>IF(بيانات!B31&lt;&gt;"",بيانات!A31,"")</f>
        <v/>
      </c>
      <c r="B31" s="34">
        <f>IF(بيانات!B31&lt;&gt;"",بيانات!B31,"")</f>
        <v/>
      </c>
      <c r="C31" s="34">
        <f>IF(بيانات!B31&lt;&gt;"",بيانات!C31,"")</f>
        <v/>
      </c>
      <c r="D31" s="35">
        <f>IF(بيانات!B31&lt;&gt;"",بيانات!Z31,"")</f>
        <v/>
      </c>
      <c r="E31" s="35" t="n"/>
      <c r="F31" s="35">
        <f>IF(E31="","",E31+30)</f>
        <v/>
      </c>
      <c r="G31" s="33" t="n"/>
      <c r="H31" s="31">
        <f>IF(بيانات!B31&lt;&gt;"",بيانات!AE31,"")</f>
        <v/>
      </c>
      <c r="I31" s="34">
        <f>IF(بيانات!B31&lt;&gt;"",بيانات!AJ31,"")</f>
        <v/>
      </c>
    </row>
    <row r="32" ht="22" customHeight="1">
      <c r="A32" s="31">
        <f>IF(بيانات!B32&lt;&gt;"",بيانات!A32,"")</f>
        <v/>
      </c>
      <c r="B32" s="34">
        <f>IF(بيانات!B32&lt;&gt;"",بيانات!B32,"")</f>
        <v/>
      </c>
      <c r="C32" s="34">
        <f>IF(بيانات!B32&lt;&gt;"",بيانات!C32,"")</f>
        <v/>
      </c>
      <c r="D32" s="35">
        <f>IF(بيانات!B32&lt;&gt;"",بيانات!Z32,"")</f>
        <v/>
      </c>
      <c r="E32" s="35" t="n"/>
      <c r="F32" s="35">
        <f>IF(E32="","",E32+30)</f>
        <v/>
      </c>
      <c r="G32" s="33" t="n"/>
      <c r="H32" s="31">
        <f>IF(بيانات!B32&lt;&gt;"",بيانات!AE32,"")</f>
        <v/>
      </c>
      <c r="I32" s="34">
        <f>IF(بيانات!B32&lt;&gt;"",بيانات!AJ32,"")</f>
        <v/>
      </c>
    </row>
    <row r="33" ht="22" customHeight="1">
      <c r="A33" s="31">
        <f>IF(بيانات!B33&lt;&gt;"",بيانات!A33,"")</f>
        <v/>
      </c>
      <c r="B33" s="34">
        <f>IF(بيانات!B33&lt;&gt;"",بيانات!B33,"")</f>
        <v/>
      </c>
      <c r="C33" s="34">
        <f>IF(بيانات!B33&lt;&gt;"",بيانات!C33,"")</f>
        <v/>
      </c>
      <c r="D33" s="35">
        <f>IF(بيانات!B33&lt;&gt;"",بيانات!Z33,"")</f>
        <v/>
      </c>
      <c r="E33" s="35" t="n"/>
      <c r="F33" s="35">
        <f>IF(E33="","",E33+30)</f>
        <v/>
      </c>
      <c r="G33" s="33" t="n"/>
      <c r="H33" s="31">
        <f>IF(بيانات!B33&lt;&gt;"",بيانات!AE33,"")</f>
        <v/>
      </c>
      <c r="I33" s="34">
        <f>IF(بيانات!B33&lt;&gt;"",بيانات!AJ33,"")</f>
        <v/>
      </c>
    </row>
    <row r="34" ht="22" customHeight="1">
      <c r="A34" s="31">
        <f>IF(بيانات!B34&lt;&gt;"",بيانات!A34,"")</f>
        <v/>
      </c>
      <c r="B34" s="34">
        <f>IF(بيانات!B34&lt;&gt;"",بيانات!B34,"")</f>
        <v/>
      </c>
      <c r="C34" s="34">
        <f>IF(بيانات!B34&lt;&gt;"",بيانات!C34,"")</f>
        <v/>
      </c>
      <c r="D34" s="35">
        <f>IF(بيانات!B34&lt;&gt;"",بيانات!Z34,"")</f>
        <v/>
      </c>
      <c r="E34" s="35" t="n"/>
      <c r="F34" s="35">
        <f>IF(E34="","",E34+30)</f>
        <v/>
      </c>
      <c r="G34" s="33" t="n"/>
      <c r="H34" s="31">
        <f>IF(بيانات!B34&lt;&gt;"",بيانات!AE34,"")</f>
        <v/>
      </c>
      <c r="I34" s="34">
        <f>IF(بيانات!B34&lt;&gt;"",بيانات!AJ34,"")</f>
        <v/>
      </c>
    </row>
    <row r="35" ht="22" customHeight="1">
      <c r="A35" s="31">
        <f>IF(بيانات!B35&lt;&gt;"",بيانات!A35,"")</f>
        <v/>
      </c>
      <c r="B35" s="34">
        <f>IF(بيانات!B35&lt;&gt;"",بيانات!B35,"")</f>
        <v/>
      </c>
      <c r="C35" s="34">
        <f>IF(بيانات!B35&lt;&gt;"",بيانات!C35,"")</f>
        <v/>
      </c>
      <c r="D35" s="35">
        <f>IF(بيانات!B35&lt;&gt;"",بيانات!Z35,"")</f>
        <v/>
      </c>
      <c r="E35" s="35" t="n"/>
      <c r="F35" s="35">
        <f>IF(E35="","",E35+30)</f>
        <v/>
      </c>
      <c r="G35" s="33" t="n"/>
      <c r="H35" s="31">
        <f>IF(بيانات!B35&lt;&gt;"",بيانات!AE35,"")</f>
        <v/>
      </c>
      <c r="I35" s="34">
        <f>IF(بيانات!B35&lt;&gt;"",بيانات!AJ35,"")</f>
        <v/>
      </c>
    </row>
    <row r="36" ht="22" customHeight="1">
      <c r="A36" s="31">
        <f>IF(بيانات!B36&lt;&gt;"",بيانات!A36,"")</f>
        <v/>
      </c>
      <c r="B36" s="34">
        <f>IF(بيانات!B36&lt;&gt;"",بيانات!B36,"")</f>
        <v/>
      </c>
      <c r="C36" s="34">
        <f>IF(بيانات!B36&lt;&gt;"",بيانات!C36,"")</f>
        <v/>
      </c>
      <c r="D36" s="35">
        <f>IF(بيانات!B36&lt;&gt;"",بيانات!Z36,"")</f>
        <v/>
      </c>
      <c r="E36" s="35" t="n"/>
      <c r="F36" s="35">
        <f>IF(E36="","",E36+30)</f>
        <v/>
      </c>
      <c r="G36" s="33" t="n"/>
      <c r="H36" s="31">
        <f>IF(بيانات!B36&lt;&gt;"",بيانات!AE36,"")</f>
        <v/>
      </c>
      <c r="I36" s="34">
        <f>IF(بيانات!B36&lt;&gt;"",بيانات!AJ36,"")</f>
        <v/>
      </c>
    </row>
    <row r="37" ht="22" customHeight="1">
      <c r="A37" s="31">
        <f>IF(بيانات!B37&lt;&gt;"",بيانات!A37,"")</f>
        <v/>
      </c>
      <c r="B37" s="34">
        <f>IF(بيانات!B37&lt;&gt;"",بيانات!B37,"")</f>
        <v/>
      </c>
      <c r="C37" s="34">
        <f>IF(بيانات!B37&lt;&gt;"",بيانات!C37,"")</f>
        <v/>
      </c>
      <c r="D37" s="35">
        <f>IF(بيانات!B37&lt;&gt;"",بيانات!Z37,"")</f>
        <v/>
      </c>
      <c r="E37" s="35" t="n"/>
      <c r="F37" s="35">
        <f>IF(E37="","",E37+30)</f>
        <v/>
      </c>
      <c r="G37" s="33" t="n"/>
      <c r="H37" s="31">
        <f>IF(بيانات!B37&lt;&gt;"",بيانات!AE37,"")</f>
        <v/>
      </c>
      <c r="I37" s="34">
        <f>IF(بيانات!B37&lt;&gt;"",بيانات!AJ37,"")</f>
        <v/>
      </c>
    </row>
    <row r="38" ht="22" customHeight="1">
      <c r="A38" s="31">
        <f>IF(بيانات!B38&lt;&gt;"",بيانات!A38,"")</f>
        <v/>
      </c>
      <c r="B38" s="34">
        <f>IF(بيانات!B38&lt;&gt;"",بيانات!B38,"")</f>
        <v/>
      </c>
      <c r="C38" s="34">
        <f>IF(بيانات!B38&lt;&gt;"",بيانات!C38,"")</f>
        <v/>
      </c>
      <c r="D38" s="35">
        <f>IF(بيانات!B38&lt;&gt;"",بيانات!Z38,"")</f>
        <v/>
      </c>
      <c r="E38" s="35" t="n"/>
      <c r="F38" s="35">
        <f>IF(E38="","",E38+30)</f>
        <v/>
      </c>
      <c r="G38" s="33" t="n"/>
      <c r="H38" s="31">
        <f>IF(بيانات!B38&lt;&gt;"",بيانات!AE38,"")</f>
        <v/>
      </c>
      <c r="I38" s="34">
        <f>IF(بيانات!B38&lt;&gt;"",بيانات!AJ38,"")</f>
        <v/>
      </c>
    </row>
    <row r="39" ht="22" customHeight="1">
      <c r="A39" s="31">
        <f>IF(بيانات!B39&lt;&gt;"",بيانات!A39,"")</f>
        <v/>
      </c>
      <c r="B39" s="34">
        <f>IF(بيانات!B39&lt;&gt;"",بيانات!B39,"")</f>
        <v/>
      </c>
      <c r="C39" s="34">
        <f>IF(بيانات!B39&lt;&gt;"",بيانات!C39,"")</f>
        <v/>
      </c>
      <c r="D39" s="35">
        <f>IF(بيانات!B39&lt;&gt;"",بيانات!Z39,"")</f>
        <v/>
      </c>
      <c r="E39" s="35" t="n"/>
      <c r="F39" s="35">
        <f>IF(E39="","",E39+30)</f>
        <v/>
      </c>
      <c r="G39" s="33" t="n"/>
      <c r="H39" s="31">
        <f>IF(بيانات!B39&lt;&gt;"",بيانات!AE39,"")</f>
        <v/>
      </c>
      <c r="I39" s="34">
        <f>IF(بيانات!B39&lt;&gt;"",بيانات!AJ39,"")</f>
        <v/>
      </c>
    </row>
    <row r="40" ht="22" customHeight="1">
      <c r="A40" s="31">
        <f>IF(بيانات!B40&lt;&gt;"",بيانات!A40,"")</f>
        <v/>
      </c>
      <c r="B40" s="34">
        <f>IF(بيانات!B40&lt;&gt;"",بيانات!B40,"")</f>
        <v/>
      </c>
      <c r="C40" s="34">
        <f>IF(بيانات!B40&lt;&gt;"",بيانات!C40,"")</f>
        <v/>
      </c>
      <c r="D40" s="35">
        <f>IF(بيانات!B40&lt;&gt;"",بيانات!Z40,"")</f>
        <v/>
      </c>
      <c r="E40" s="35" t="n"/>
      <c r="F40" s="35">
        <f>IF(E40="","",E40+30)</f>
        <v/>
      </c>
      <c r="G40" s="33" t="n"/>
      <c r="H40" s="31">
        <f>IF(بيانات!B40&lt;&gt;"",بيانات!AE40,"")</f>
        <v/>
      </c>
      <c r="I40" s="34">
        <f>IF(بيانات!B40&lt;&gt;"",بيانات!AJ40,"")</f>
        <v/>
      </c>
    </row>
    <row r="41" ht="22" customHeight="1">
      <c r="A41" s="31">
        <f>IF(بيانات!B41&lt;&gt;"",بيانات!A41,"")</f>
        <v/>
      </c>
      <c r="B41" s="34">
        <f>IF(بيانات!B41&lt;&gt;"",بيانات!B41,"")</f>
        <v/>
      </c>
      <c r="C41" s="34">
        <f>IF(بيانات!B41&lt;&gt;"",بيانات!C41,"")</f>
        <v/>
      </c>
      <c r="D41" s="35">
        <f>IF(بيانات!B41&lt;&gt;"",بيانات!Z41,"")</f>
        <v/>
      </c>
      <c r="E41" s="35" t="n"/>
      <c r="F41" s="35">
        <f>IF(E41="","",E41+30)</f>
        <v/>
      </c>
      <c r="G41" s="33" t="n"/>
      <c r="H41" s="31">
        <f>IF(بيانات!B41&lt;&gt;"",بيانات!AE41,"")</f>
        <v/>
      </c>
      <c r="I41" s="34">
        <f>IF(بيانات!B41&lt;&gt;"",بيانات!AJ41,"")</f>
        <v/>
      </c>
    </row>
    <row r="42" ht="22" customHeight="1">
      <c r="A42" s="31">
        <f>IF(بيانات!B42&lt;&gt;"",بيانات!A42,"")</f>
        <v/>
      </c>
      <c r="B42" s="34">
        <f>IF(بيانات!B42&lt;&gt;"",بيانات!B42,"")</f>
        <v/>
      </c>
      <c r="C42" s="34">
        <f>IF(بيانات!B42&lt;&gt;"",بيانات!C42,"")</f>
        <v/>
      </c>
      <c r="D42" s="35">
        <f>IF(بيانات!B42&lt;&gt;"",بيانات!Z42,"")</f>
        <v/>
      </c>
      <c r="E42" s="35" t="n"/>
      <c r="F42" s="35">
        <f>IF(E42="","",E42+30)</f>
        <v/>
      </c>
      <c r="G42" s="33" t="n"/>
      <c r="H42" s="31">
        <f>IF(بيانات!B42&lt;&gt;"",بيانات!AE42,"")</f>
        <v/>
      </c>
      <c r="I42" s="34">
        <f>IF(بيانات!B42&lt;&gt;"",بيانات!AJ42,"")</f>
        <v/>
      </c>
    </row>
    <row r="43" ht="22" customHeight="1">
      <c r="A43" s="31">
        <f>IF(بيانات!B43&lt;&gt;"",بيانات!A43,"")</f>
        <v/>
      </c>
      <c r="B43" s="34">
        <f>IF(بيانات!B43&lt;&gt;"",بيانات!B43,"")</f>
        <v/>
      </c>
      <c r="C43" s="34">
        <f>IF(بيانات!B43&lt;&gt;"",بيانات!C43,"")</f>
        <v/>
      </c>
      <c r="D43" s="35">
        <f>IF(بيانات!B43&lt;&gt;"",بيانات!Z43,"")</f>
        <v/>
      </c>
      <c r="E43" s="35" t="n"/>
      <c r="F43" s="35">
        <f>IF(E43="","",E43+30)</f>
        <v/>
      </c>
      <c r="G43" s="33" t="n"/>
      <c r="H43" s="31">
        <f>IF(بيانات!B43&lt;&gt;"",بيانات!AE43,"")</f>
        <v/>
      </c>
      <c r="I43" s="34">
        <f>IF(بيانات!B43&lt;&gt;"",بيانات!AJ43,"")</f>
        <v/>
      </c>
    </row>
    <row r="44" ht="22" customHeight="1">
      <c r="A44" s="31">
        <f>IF(بيانات!B44&lt;&gt;"",بيانات!A44,"")</f>
        <v/>
      </c>
      <c r="B44" s="34">
        <f>IF(بيانات!B44&lt;&gt;"",بيانات!B44,"")</f>
        <v/>
      </c>
      <c r="C44" s="34">
        <f>IF(بيانات!B44&lt;&gt;"",بيانات!C44,"")</f>
        <v/>
      </c>
      <c r="D44" s="35">
        <f>IF(بيانات!B44&lt;&gt;"",بيانات!Z44,"")</f>
        <v/>
      </c>
      <c r="E44" s="35" t="n"/>
      <c r="F44" s="35">
        <f>IF(E44="","",E44+30)</f>
        <v/>
      </c>
      <c r="G44" s="33" t="n"/>
      <c r="H44" s="31">
        <f>IF(بيانات!B44&lt;&gt;"",بيانات!AE44,"")</f>
        <v/>
      </c>
      <c r="I44" s="34">
        <f>IF(بيانات!B44&lt;&gt;"",بيانات!AJ44,"")</f>
        <v/>
      </c>
    </row>
    <row r="45" ht="22" customHeight="1">
      <c r="A45" s="31">
        <f>IF(بيانات!B45&lt;&gt;"",بيانات!A45,"")</f>
        <v/>
      </c>
      <c r="B45" s="34">
        <f>IF(بيانات!B45&lt;&gt;"",بيانات!B45,"")</f>
        <v/>
      </c>
      <c r="C45" s="34">
        <f>IF(بيانات!B45&lt;&gt;"",بيانات!C45,"")</f>
        <v/>
      </c>
      <c r="D45" s="35">
        <f>IF(بيانات!B45&lt;&gt;"",بيانات!Z45,"")</f>
        <v/>
      </c>
      <c r="E45" s="35" t="n"/>
      <c r="F45" s="35">
        <f>IF(E45="","",E45+30)</f>
        <v/>
      </c>
      <c r="G45" s="33" t="n"/>
      <c r="H45" s="31">
        <f>IF(بيانات!B45&lt;&gt;"",بيانات!AE45,"")</f>
        <v/>
      </c>
      <c r="I45" s="34">
        <f>IF(بيانات!B45&lt;&gt;"",بيانات!AJ45,"")</f>
        <v/>
      </c>
    </row>
    <row r="46" ht="22" customHeight="1">
      <c r="A46" s="31">
        <f>IF(بيانات!B46&lt;&gt;"",بيانات!A46,"")</f>
        <v/>
      </c>
      <c r="B46" s="34">
        <f>IF(بيانات!B46&lt;&gt;"",بيانات!B46,"")</f>
        <v/>
      </c>
      <c r="C46" s="34">
        <f>IF(بيانات!B46&lt;&gt;"",بيانات!C46,"")</f>
        <v/>
      </c>
      <c r="D46" s="35">
        <f>IF(بيانات!B46&lt;&gt;"",بيانات!Z46,"")</f>
        <v/>
      </c>
      <c r="E46" s="35" t="n"/>
      <c r="F46" s="35">
        <f>IF(E46="","",E46+30)</f>
        <v/>
      </c>
      <c r="G46" s="33" t="n"/>
      <c r="H46" s="31">
        <f>IF(بيانات!B46&lt;&gt;"",بيانات!AE46,"")</f>
        <v/>
      </c>
      <c r="I46" s="34">
        <f>IF(بيانات!B46&lt;&gt;"",بيانات!AJ46,"")</f>
        <v/>
      </c>
    </row>
    <row r="47" ht="22" customHeight="1">
      <c r="A47" s="31">
        <f>IF(بيانات!B47&lt;&gt;"",بيانات!A47,"")</f>
        <v/>
      </c>
      <c r="B47" s="34">
        <f>IF(بيانات!B47&lt;&gt;"",بيانات!B47,"")</f>
        <v/>
      </c>
      <c r="C47" s="34">
        <f>IF(بيانات!B47&lt;&gt;"",بيانات!C47,"")</f>
        <v/>
      </c>
      <c r="D47" s="35">
        <f>IF(بيانات!B47&lt;&gt;"",بيانات!Z47,"")</f>
        <v/>
      </c>
      <c r="E47" s="35" t="n"/>
      <c r="F47" s="35">
        <f>IF(E47="","",E47+30)</f>
        <v/>
      </c>
      <c r="G47" s="33" t="n"/>
      <c r="H47" s="31">
        <f>IF(بيانات!B47&lt;&gt;"",بيانات!AE47,"")</f>
        <v/>
      </c>
      <c r="I47" s="34">
        <f>IF(بيانات!B47&lt;&gt;"",بيانات!AJ47,"")</f>
        <v/>
      </c>
    </row>
    <row r="48" ht="22" customHeight="1">
      <c r="A48" s="31">
        <f>IF(بيانات!B48&lt;&gt;"",بيانات!A48,"")</f>
        <v/>
      </c>
      <c r="B48" s="34">
        <f>IF(بيانات!B48&lt;&gt;"",بيانات!B48,"")</f>
        <v/>
      </c>
      <c r="C48" s="34">
        <f>IF(بيانات!B48&lt;&gt;"",بيانات!C48,"")</f>
        <v/>
      </c>
      <c r="D48" s="35">
        <f>IF(بيانات!B48&lt;&gt;"",بيانات!Z48,"")</f>
        <v/>
      </c>
      <c r="E48" s="35" t="n"/>
      <c r="F48" s="35">
        <f>IF(E48="","",E48+30)</f>
        <v/>
      </c>
      <c r="G48" s="33" t="n"/>
      <c r="H48" s="31">
        <f>IF(بيانات!B48&lt;&gt;"",بيانات!AE48,"")</f>
        <v/>
      </c>
      <c r="I48" s="34">
        <f>IF(بيانات!B48&lt;&gt;"",بيانات!AJ48,"")</f>
        <v/>
      </c>
    </row>
    <row r="49" ht="22" customHeight="1">
      <c r="A49" s="31">
        <f>IF(بيانات!B49&lt;&gt;"",بيانات!A49,"")</f>
        <v/>
      </c>
      <c r="B49" s="34">
        <f>IF(بيانات!B49&lt;&gt;"",بيانات!B49,"")</f>
        <v/>
      </c>
      <c r="C49" s="34">
        <f>IF(بيانات!B49&lt;&gt;"",بيانات!C49,"")</f>
        <v/>
      </c>
      <c r="D49" s="35">
        <f>IF(بيانات!B49&lt;&gt;"",بيانات!Z49,"")</f>
        <v/>
      </c>
      <c r="E49" s="35" t="n"/>
      <c r="F49" s="35">
        <f>IF(E49="","",E49+30)</f>
        <v/>
      </c>
      <c r="G49" s="33" t="n"/>
      <c r="H49" s="31">
        <f>IF(بيانات!B49&lt;&gt;"",بيانات!AE49,"")</f>
        <v/>
      </c>
      <c r="I49" s="34">
        <f>IF(بيانات!B49&lt;&gt;"",بيانات!AJ49,"")</f>
        <v/>
      </c>
    </row>
    <row r="50" ht="22" customHeight="1">
      <c r="A50" s="31">
        <f>IF(بيانات!B50&lt;&gt;"",بيانات!A50,"")</f>
        <v/>
      </c>
      <c r="B50" s="34">
        <f>IF(بيانات!B50&lt;&gt;"",بيانات!B50,"")</f>
        <v/>
      </c>
      <c r="C50" s="34">
        <f>IF(بيانات!B50&lt;&gt;"",بيانات!C50,"")</f>
        <v/>
      </c>
      <c r="D50" s="35">
        <f>IF(بيانات!B50&lt;&gt;"",بيانات!Z50,"")</f>
        <v/>
      </c>
      <c r="E50" s="35" t="n"/>
      <c r="F50" s="35">
        <f>IF(E50="","",E50+30)</f>
        <v/>
      </c>
      <c r="G50" s="33" t="n"/>
      <c r="H50" s="31">
        <f>IF(بيانات!B50&lt;&gt;"",بيانات!AE50,"")</f>
        <v/>
      </c>
      <c r="I50" s="34">
        <f>IF(بيانات!B50&lt;&gt;"",بيانات!AJ50,"")</f>
        <v/>
      </c>
    </row>
    <row r="51" ht="22" customHeight="1">
      <c r="A51" s="31">
        <f>IF(بيانات!B51&lt;&gt;"",بيانات!A51,"")</f>
        <v/>
      </c>
      <c r="B51" s="34">
        <f>IF(بيانات!B51&lt;&gt;"",بيانات!B51,"")</f>
        <v/>
      </c>
      <c r="C51" s="34">
        <f>IF(بيانات!B51&lt;&gt;"",بيانات!C51,"")</f>
        <v/>
      </c>
      <c r="D51" s="35">
        <f>IF(بيانات!B51&lt;&gt;"",بيانات!Z51,"")</f>
        <v/>
      </c>
      <c r="E51" s="35" t="n"/>
      <c r="F51" s="35">
        <f>IF(E51="","",E51+30)</f>
        <v/>
      </c>
      <c r="G51" s="33" t="n"/>
      <c r="H51" s="31">
        <f>IF(بيانات!B51&lt;&gt;"",بيانات!AE51,"")</f>
        <v/>
      </c>
      <c r="I51" s="34">
        <f>IF(بيانات!B51&lt;&gt;"",بيانات!AJ51,"")</f>
        <v/>
      </c>
    </row>
    <row r="52" ht="22" customHeight="1">
      <c r="A52" s="31">
        <f>IF(بيانات!B52&lt;&gt;"",بيانات!A52,"")</f>
        <v/>
      </c>
      <c r="B52" s="34">
        <f>IF(بيانات!B52&lt;&gt;"",بيانات!B52,"")</f>
        <v/>
      </c>
      <c r="C52" s="34">
        <f>IF(بيانات!B52&lt;&gt;"",بيانات!C52,"")</f>
        <v/>
      </c>
      <c r="D52" s="35">
        <f>IF(بيانات!B52&lt;&gt;"",بيانات!Z52,"")</f>
        <v/>
      </c>
      <c r="E52" s="35" t="n"/>
      <c r="F52" s="35">
        <f>IF(E52="","",E52+30)</f>
        <v/>
      </c>
      <c r="G52" s="33" t="n"/>
      <c r="H52" s="31">
        <f>IF(بيانات!B52&lt;&gt;"",بيانات!AE52,"")</f>
        <v/>
      </c>
      <c r="I52" s="34">
        <f>IF(بيانات!B52&lt;&gt;"",بيانات!AJ52,"")</f>
        <v/>
      </c>
    </row>
    <row r="53" ht="22" customHeight="1">
      <c r="A53" s="31">
        <f>IF(بيانات!B53&lt;&gt;"",بيانات!A53,"")</f>
        <v/>
      </c>
      <c r="B53" s="34">
        <f>IF(بيانات!B53&lt;&gt;"",بيانات!B53,"")</f>
        <v/>
      </c>
      <c r="C53" s="34">
        <f>IF(بيانات!B53&lt;&gt;"",بيانات!C53,"")</f>
        <v/>
      </c>
      <c r="D53" s="35">
        <f>IF(بيانات!B53&lt;&gt;"",بيانات!Z53,"")</f>
        <v/>
      </c>
      <c r="E53" s="35" t="n"/>
      <c r="F53" s="35">
        <f>IF(E53="","",E53+30)</f>
        <v/>
      </c>
      <c r="G53" s="33" t="n"/>
      <c r="H53" s="31">
        <f>IF(بيانات!B53&lt;&gt;"",بيانات!AE53,"")</f>
        <v/>
      </c>
      <c r="I53" s="34">
        <f>IF(بيانات!B53&lt;&gt;"",بيانات!AJ53,"")</f>
        <v/>
      </c>
    </row>
    <row r="54" ht="22" customHeight="1">
      <c r="A54" s="31">
        <f>IF(بيانات!B54&lt;&gt;"",بيانات!A54,"")</f>
        <v/>
      </c>
      <c r="B54" s="34">
        <f>IF(بيانات!B54&lt;&gt;"",بيانات!B54,"")</f>
        <v/>
      </c>
      <c r="C54" s="34">
        <f>IF(بيانات!B54&lt;&gt;"",بيانات!C54,"")</f>
        <v/>
      </c>
      <c r="D54" s="35">
        <f>IF(بيانات!B54&lt;&gt;"",بيانات!Z54,"")</f>
        <v/>
      </c>
      <c r="E54" s="35" t="n"/>
      <c r="F54" s="35">
        <f>IF(E54="","",E54+30)</f>
        <v/>
      </c>
      <c r="G54" s="33" t="n"/>
      <c r="H54" s="31">
        <f>IF(بيانات!B54&lt;&gt;"",بيانات!AE54,"")</f>
        <v/>
      </c>
      <c r="I54" s="34">
        <f>IF(بيانات!B54&lt;&gt;"",بيانات!AJ54,"")</f>
        <v/>
      </c>
    </row>
    <row r="55" ht="22" customHeight="1">
      <c r="A55" s="31">
        <f>IF(بيانات!B55&lt;&gt;"",بيانات!A55,"")</f>
        <v/>
      </c>
      <c r="B55" s="34">
        <f>IF(بيانات!B55&lt;&gt;"",بيانات!B55,"")</f>
        <v/>
      </c>
      <c r="C55" s="34">
        <f>IF(بيانات!B55&lt;&gt;"",بيانات!C55,"")</f>
        <v/>
      </c>
      <c r="D55" s="35">
        <f>IF(بيانات!B55&lt;&gt;"",بيانات!Z55,"")</f>
        <v/>
      </c>
      <c r="E55" s="35" t="n"/>
      <c r="F55" s="35">
        <f>IF(E55="","",E55+30)</f>
        <v/>
      </c>
      <c r="G55" s="33" t="n"/>
      <c r="H55" s="31">
        <f>IF(بيانات!B55&lt;&gt;"",بيانات!AE55,"")</f>
        <v/>
      </c>
      <c r="I55" s="34">
        <f>IF(بيانات!B55&lt;&gt;"",بيانات!AJ55,"")</f>
        <v/>
      </c>
    </row>
    <row r="56" ht="22" customHeight="1">
      <c r="A56" s="31">
        <f>IF(بيانات!B56&lt;&gt;"",بيانات!A56,"")</f>
        <v/>
      </c>
      <c r="B56" s="34">
        <f>IF(بيانات!B56&lt;&gt;"",بيانات!B56,"")</f>
        <v/>
      </c>
      <c r="C56" s="34">
        <f>IF(بيانات!B56&lt;&gt;"",بيانات!C56,"")</f>
        <v/>
      </c>
      <c r="D56" s="35">
        <f>IF(بيانات!B56&lt;&gt;"",بيانات!Z56,"")</f>
        <v/>
      </c>
      <c r="E56" s="35" t="n"/>
      <c r="F56" s="35">
        <f>IF(E56="","",E56+30)</f>
        <v/>
      </c>
      <c r="G56" s="33" t="n"/>
      <c r="H56" s="31">
        <f>IF(بيانات!B56&lt;&gt;"",بيانات!AE56,"")</f>
        <v/>
      </c>
      <c r="I56" s="34">
        <f>IF(بيانات!B56&lt;&gt;"",بيانات!AJ56,"")</f>
        <v/>
      </c>
    </row>
    <row r="57" ht="22" customHeight="1">
      <c r="A57" s="31">
        <f>IF(بيانات!B57&lt;&gt;"",بيانات!A57,"")</f>
        <v/>
      </c>
      <c r="B57" s="34">
        <f>IF(بيانات!B57&lt;&gt;"",بيانات!B57,"")</f>
        <v/>
      </c>
      <c r="C57" s="34">
        <f>IF(بيانات!B57&lt;&gt;"",بيانات!C57,"")</f>
        <v/>
      </c>
      <c r="D57" s="35">
        <f>IF(بيانات!B57&lt;&gt;"",بيانات!Z57,"")</f>
        <v/>
      </c>
      <c r="E57" s="35" t="n"/>
      <c r="F57" s="35">
        <f>IF(E57="","",E57+30)</f>
        <v/>
      </c>
      <c r="G57" s="33" t="n"/>
      <c r="H57" s="31">
        <f>IF(بيانات!B57&lt;&gt;"",بيانات!AE57,"")</f>
        <v/>
      </c>
      <c r="I57" s="34">
        <f>IF(بيانات!B57&lt;&gt;"",بيانات!AJ57,"")</f>
        <v/>
      </c>
    </row>
    <row r="58" ht="22" customHeight="1">
      <c r="A58" s="31">
        <f>IF(بيانات!B58&lt;&gt;"",بيانات!A58,"")</f>
        <v/>
      </c>
      <c r="B58" s="34">
        <f>IF(بيانات!B58&lt;&gt;"",بيانات!B58,"")</f>
        <v/>
      </c>
      <c r="C58" s="34">
        <f>IF(بيانات!B58&lt;&gt;"",بيانات!C58,"")</f>
        <v/>
      </c>
      <c r="D58" s="35">
        <f>IF(بيانات!B58&lt;&gt;"",بيانات!Z58,"")</f>
        <v/>
      </c>
      <c r="E58" s="35" t="n"/>
      <c r="F58" s="35">
        <f>IF(E58="","",E58+30)</f>
        <v/>
      </c>
      <c r="G58" s="33" t="n"/>
      <c r="H58" s="31">
        <f>IF(بيانات!B58&lt;&gt;"",بيانات!AE58,"")</f>
        <v/>
      </c>
      <c r="I58" s="34">
        <f>IF(بيانات!B58&lt;&gt;"",بيانات!AJ58,"")</f>
        <v/>
      </c>
    </row>
    <row r="59" ht="22" customHeight="1">
      <c r="A59" s="31">
        <f>IF(بيانات!B59&lt;&gt;"",بيانات!A59,"")</f>
        <v/>
      </c>
      <c r="B59" s="34">
        <f>IF(بيانات!B59&lt;&gt;"",بيانات!B59,"")</f>
        <v/>
      </c>
      <c r="C59" s="34">
        <f>IF(بيانات!B59&lt;&gt;"",بيانات!C59,"")</f>
        <v/>
      </c>
      <c r="D59" s="35">
        <f>IF(بيانات!B59&lt;&gt;"",بيانات!Z59,"")</f>
        <v/>
      </c>
      <c r="E59" s="35" t="n"/>
      <c r="F59" s="35">
        <f>IF(E59="","",E59+30)</f>
        <v/>
      </c>
      <c r="G59" s="33" t="n"/>
      <c r="H59" s="31">
        <f>IF(بيانات!B59&lt;&gt;"",بيانات!AE59,"")</f>
        <v/>
      </c>
      <c r="I59" s="34">
        <f>IF(بيانات!B59&lt;&gt;"",بيانات!AJ59,"")</f>
        <v/>
      </c>
    </row>
    <row r="60" ht="22" customHeight="1">
      <c r="A60" s="31">
        <f>IF(بيانات!B60&lt;&gt;"",بيانات!A60,"")</f>
        <v/>
      </c>
      <c r="B60" s="34">
        <f>IF(بيانات!B60&lt;&gt;"",بيانات!B60,"")</f>
        <v/>
      </c>
      <c r="C60" s="34">
        <f>IF(بيانات!B60&lt;&gt;"",بيانات!C60,"")</f>
        <v/>
      </c>
      <c r="D60" s="35">
        <f>IF(بيانات!B60&lt;&gt;"",بيانات!Z60,"")</f>
        <v/>
      </c>
      <c r="E60" s="35" t="n"/>
      <c r="F60" s="35">
        <f>IF(E60="","",E60+30)</f>
        <v/>
      </c>
      <c r="G60" s="33" t="n"/>
      <c r="H60" s="31">
        <f>IF(بيانات!B60&lt;&gt;"",بيانات!AE60,"")</f>
        <v/>
      </c>
      <c r="I60" s="34">
        <f>IF(بيانات!B60&lt;&gt;"",بيانات!AJ60,"")</f>
        <v/>
      </c>
    </row>
    <row r="61" ht="22" customHeight="1">
      <c r="A61" s="31">
        <f>IF(بيانات!B61&lt;&gt;"",بيانات!A61,"")</f>
        <v/>
      </c>
      <c r="B61" s="34">
        <f>IF(بيانات!B61&lt;&gt;"",بيانات!B61,"")</f>
        <v/>
      </c>
      <c r="C61" s="34">
        <f>IF(بيانات!B61&lt;&gt;"",بيانات!C61,"")</f>
        <v/>
      </c>
      <c r="D61" s="35">
        <f>IF(بيانات!B61&lt;&gt;"",بيانات!Z61,"")</f>
        <v/>
      </c>
      <c r="E61" s="35" t="n"/>
      <c r="F61" s="35">
        <f>IF(E61="","",E61+30)</f>
        <v/>
      </c>
      <c r="G61" s="33" t="n"/>
      <c r="H61" s="31">
        <f>IF(بيانات!B61&lt;&gt;"",بيانات!AE61,"")</f>
        <v/>
      </c>
      <c r="I61" s="34">
        <f>IF(بيانات!B61&lt;&gt;"",بيانات!AJ61,"")</f>
        <v/>
      </c>
    </row>
    <row r="62" ht="22" customHeight="1">
      <c r="A62" s="31">
        <f>IF(بيانات!B62&lt;&gt;"",بيانات!A62,"")</f>
        <v/>
      </c>
      <c r="B62" s="34">
        <f>IF(بيانات!B62&lt;&gt;"",بيانات!B62,"")</f>
        <v/>
      </c>
      <c r="C62" s="34">
        <f>IF(بيانات!B62&lt;&gt;"",بيانات!C62,"")</f>
        <v/>
      </c>
      <c r="D62" s="35">
        <f>IF(بيانات!B62&lt;&gt;"",بيانات!Z62,"")</f>
        <v/>
      </c>
      <c r="E62" s="35" t="n"/>
      <c r="F62" s="35">
        <f>IF(E62="","",E62+30)</f>
        <v/>
      </c>
      <c r="G62" s="33" t="n"/>
      <c r="H62" s="31">
        <f>IF(بيانات!B62&lt;&gt;"",بيانات!AE62,"")</f>
        <v/>
      </c>
      <c r="I62" s="34">
        <f>IF(بيانات!B62&lt;&gt;"",بيانات!AJ62,"")</f>
        <v/>
      </c>
    </row>
    <row r="63" ht="22" customHeight="1">
      <c r="A63" s="31">
        <f>IF(بيانات!B63&lt;&gt;"",بيانات!A63,"")</f>
        <v/>
      </c>
      <c r="B63" s="34">
        <f>IF(بيانات!B63&lt;&gt;"",بيانات!B63,"")</f>
        <v/>
      </c>
      <c r="C63" s="34">
        <f>IF(بيانات!B63&lt;&gt;"",بيانات!C63,"")</f>
        <v/>
      </c>
      <c r="D63" s="35">
        <f>IF(بيانات!B63&lt;&gt;"",بيانات!Z63,"")</f>
        <v/>
      </c>
      <c r="E63" s="35" t="n"/>
      <c r="F63" s="35">
        <f>IF(E63="","",E63+30)</f>
        <v/>
      </c>
      <c r="G63" s="33" t="n"/>
      <c r="H63" s="31">
        <f>IF(بيانات!B63&lt;&gt;"",بيانات!AE63,"")</f>
        <v/>
      </c>
      <c r="I63" s="34">
        <f>IF(بيانات!B63&lt;&gt;"",بيانات!AJ63,"")</f>
        <v/>
      </c>
    </row>
    <row r="64" ht="22" customHeight="1">
      <c r="A64" s="31">
        <f>IF(بيانات!B64&lt;&gt;"",بيانات!A64,"")</f>
        <v/>
      </c>
      <c r="B64" s="34">
        <f>IF(بيانات!B64&lt;&gt;"",بيانات!B64,"")</f>
        <v/>
      </c>
      <c r="C64" s="34">
        <f>IF(بيانات!B64&lt;&gt;"",بيانات!C64,"")</f>
        <v/>
      </c>
      <c r="D64" s="35">
        <f>IF(بيانات!B64&lt;&gt;"",بيانات!Z64,"")</f>
        <v/>
      </c>
      <c r="E64" s="35" t="n"/>
      <c r="F64" s="35">
        <f>IF(E64="","",E64+30)</f>
        <v/>
      </c>
      <c r="G64" s="33" t="n"/>
      <c r="H64" s="31">
        <f>IF(بيانات!B64&lt;&gt;"",بيانات!AE64,"")</f>
        <v/>
      </c>
      <c r="I64" s="34">
        <f>IF(بيانات!B64&lt;&gt;"",بيانات!AJ64,"")</f>
        <v/>
      </c>
    </row>
    <row r="65" ht="22" customHeight="1">
      <c r="A65" s="31">
        <f>IF(بيانات!B65&lt;&gt;"",بيانات!A65,"")</f>
        <v/>
      </c>
      <c r="B65" s="34">
        <f>IF(بيانات!B65&lt;&gt;"",بيانات!B65,"")</f>
        <v/>
      </c>
      <c r="C65" s="34">
        <f>IF(بيانات!B65&lt;&gt;"",بيانات!C65,"")</f>
        <v/>
      </c>
      <c r="D65" s="35">
        <f>IF(بيانات!B65&lt;&gt;"",بيانات!Z65,"")</f>
        <v/>
      </c>
      <c r="E65" s="35" t="n"/>
      <c r="F65" s="35">
        <f>IF(E65="","",E65+30)</f>
        <v/>
      </c>
      <c r="G65" s="33" t="n"/>
      <c r="H65" s="31">
        <f>IF(بيانات!B65&lt;&gt;"",بيانات!AE65,"")</f>
        <v/>
      </c>
      <c r="I65" s="34">
        <f>IF(بيانات!B65&lt;&gt;"",بيانات!AJ65,"")</f>
        <v/>
      </c>
    </row>
    <row r="66" ht="22" customHeight="1">
      <c r="A66" s="31">
        <f>IF(بيانات!B66&lt;&gt;"",بيانات!A66,"")</f>
        <v/>
      </c>
      <c r="B66" s="34">
        <f>IF(بيانات!B66&lt;&gt;"",بيانات!B66,"")</f>
        <v/>
      </c>
      <c r="C66" s="34">
        <f>IF(بيانات!B66&lt;&gt;"",بيانات!C66,"")</f>
        <v/>
      </c>
      <c r="D66" s="35">
        <f>IF(بيانات!B66&lt;&gt;"",بيانات!Z66,"")</f>
        <v/>
      </c>
      <c r="E66" s="35" t="n"/>
      <c r="F66" s="35">
        <f>IF(E66="","",E66+30)</f>
        <v/>
      </c>
      <c r="G66" s="33" t="n"/>
      <c r="H66" s="31">
        <f>IF(بيانات!B66&lt;&gt;"",بيانات!AE66,"")</f>
        <v/>
      </c>
      <c r="I66" s="34">
        <f>IF(بيانات!B66&lt;&gt;"",بيانات!AJ66,"")</f>
        <v/>
      </c>
    </row>
    <row r="67" ht="22" customHeight="1">
      <c r="A67" s="31">
        <f>IF(بيانات!B67&lt;&gt;"",بيانات!A67,"")</f>
        <v/>
      </c>
      <c r="B67" s="34">
        <f>IF(بيانات!B67&lt;&gt;"",بيانات!B67,"")</f>
        <v/>
      </c>
      <c r="C67" s="34">
        <f>IF(بيانات!B67&lt;&gt;"",بيانات!C67,"")</f>
        <v/>
      </c>
      <c r="D67" s="35">
        <f>IF(بيانات!B67&lt;&gt;"",بيانات!Z67,"")</f>
        <v/>
      </c>
      <c r="E67" s="35" t="n"/>
      <c r="F67" s="35">
        <f>IF(E67="","",E67+30)</f>
        <v/>
      </c>
      <c r="G67" s="33" t="n"/>
      <c r="H67" s="31">
        <f>IF(بيانات!B67&lt;&gt;"",بيانات!AE67,"")</f>
        <v/>
      </c>
      <c r="I67" s="34">
        <f>IF(بيانات!B67&lt;&gt;"",بيانات!AJ67,"")</f>
        <v/>
      </c>
    </row>
    <row r="68" ht="22" customHeight="1">
      <c r="A68" s="31">
        <f>IF(بيانات!B68&lt;&gt;"",بيانات!A68,"")</f>
        <v/>
      </c>
      <c r="B68" s="34">
        <f>IF(بيانات!B68&lt;&gt;"",بيانات!B68,"")</f>
        <v/>
      </c>
      <c r="C68" s="34">
        <f>IF(بيانات!B68&lt;&gt;"",بيانات!C68,"")</f>
        <v/>
      </c>
      <c r="D68" s="35">
        <f>IF(بيانات!B68&lt;&gt;"",بيانات!Z68,"")</f>
        <v/>
      </c>
      <c r="E68" s="35" t="n"/>
      <c r="F68" s="35">
        <f>IF(E68="","",E68+30)</f>
        <v/>
      </c>
      <c r="G68" s="33" t="n"/>
      <c r="H68" s="31">
        <f>IF(بيانات!B68&lt;&gt;"",بيانات!AE68,"")</f>
        <v/>
      </c>
      <c r="I68" s="34">
        <f>IF(بيانات!B68&lt;&gt;"",بيانات!AJ68,"")</f>
        <v/>
      </c>
    </row>
    <row r="69" ht="22" customHeight="1">
      <c r="A69" s="31">
        <f>IF(بيانات!B69&lt;&gt;"",بيانات!A69,"")</f>
        <v/>
      </c>
      <c r="B69" s="34">
        <f>IF(بيانات!B69&lt;&gt;"",بيانات!B69,"")</f>
        <v/>
      </c>
      <c r="C69" s="34">
        <f>IF(بيانات!B69&lt;&gt;"",بيانات!C69,"")</f>
        <v/>
      </c>
      <c r="D69" s="35">
        <f>IF(بيانات!B69&lt;&gt;"",بيانات!Z69,"")</f>
        <v/>
      </c>
      <c r="E69" s="35" t="n"/>
      <c r="F69" s="35">
        <f>IF(E69="","",E69+30)</f>
        <v/>
      </c>
      <c r="G69" s="33" t="n"/>
      <c r="H69" s="31">
        <f>IF(بيانات!B69&lt;&gt;"",بيانات!AE69,"")</f>
        <v/>
      </c>
      <c r="I69" s="34">
        <f>IF(بيانات!B69&lt;&gt;"",بيانات!AJ69,"")</f>
        <v/>
      </c>
    </row>
    <row r="70" ht="22" customHeight="1">
      <c r="A70" s="31">
        <f>IF(بيانات!B70&lt;&gt;"",بيانات!A70,"")</f>
        <v/>
      </c>
      <c r="B70" s="34">
        <f>IF(بيانات!B70&lt;&gt;"",بيانات!B70,"")</f>
        <v/>
      </c>
      <c r="C70" s="34">
        <f>IF(بيانات!B70&lt;&gt;"",بيانات!C70,"")</f>
        <v/>
      </c>
      <c r="D70" s="35">
        <f>IF(بيانات!B70&lt;&gt;"",بيانات!Z70,"")</f>
        <v/>
      </c>
      <c r="E70" s="35" t="n"/>
      <c r="F70" s="35">
        <f>IF(E70="","",E70+30)</f>
        <v/>
      </c>
      <c r="G70" s="33" t="n"/>
      <c r="H70" s="31">
        <f>IF(بيانات!B70&lt;&gt;"",بيانات!AE70,"")</f>
        <v/>
      </c>
      <c r="I70" s="34">
        <f>IF(بيانات!B70&lt;&gt;"",بيانات!AJ70,"")</f>
        <v/>
      </c>
    </row>
    <row r="71" ht="22" customHeight="1">
      <c r="A71" s="31">
        <f>IF(بيانات!B71&lt;&gt;"",بيانات!A71,"")</f>
        <v/>
      </c>
      <c r="B71" s="34">
        <f>IF(بيانات!B71&lt;&gt;"",بيانات!B71,"")</f>
        <v/>
      </c>
      <c r="C71" s="34">
        <f>IF(بيانات!B71&lt;&gt;"",بيانات!C71,"")</f>
        <v/>
      </c>
      <c r="D71" s="35">
        <f>IF(بيانات!B71&lt;&gt;"",بيانات!Z71,"")</f>
        <v/>
      </c>
      <c r="E71" s="35" t="n"/>
      <c r="F71" s="35">
        <f>IF(E71="","",E71+30)</f>
        <v/>
      </c>
      <c r="G71" s="33" t="n"/>
      <c r="H71" s="31">
        <f>IF(بيانات!B71&lt;&gt;"",بيانات!AE71,"")</f>
        <v/>
      </c>
      <c r="I71" s="34">
        <f>IF(بيانات!B71&lt;&gt;"",بيانات!AJ71,"")</f>
        <v/>
      </c>
    </row>
    <row r="72" ht="22" customHeight="1">
      <c r="A72" s="31">
        <f>IF(بيانات!B72&lt;&gt;"",بيانات!A72,"")</f>
        <v/>
      </c>
      <c r="B72" s="34">
        <f>IF(بيانات!B72&lt;&gt;"",بيانات!B72,"")</f>
        <v/>
      </c>
      <c r="C72" s="34">
        <f>IF(بيانات!B72&lt;&gt;"",بيانات!C72,"")</f>
        <v/>
      </c>
      <c r="D72" s="35">
        <f>IF(بيانات!B72&lt;&gt;"",بيانات!Z72,"")</f>
        <v/>
      </c>
      <c r="E72" s="35" t="n"/>
      <c r="F72" s="35">
        <f>IF(E72="","",E72+30)</f>
        <v/>
      </c>
      <c r="G72" s="33" t="n"/>
      <c r="H72" s="31">
        <f>IF(بيانات!B72&lt;&gt;"",بيانات!AE72,"")</f>
        <v/>
      </c>
      <c r="I72" s="34">
        <f>IF(بيانات!B72&lt;&gt;"",بيانات!AJ72,"")</f>
        <v/>
      </c>
    </row>
    <row r="73" ht="22" customHeight="1">
      <c r="A73" s="31">
        <f>IF(بيانات!B73&lt;&gt;"",بيانات!A73,"")</f>
        <v/>
      </c>
      <c r="B73" s="34">
        <f>IF(بيانات!B73&lt;&gt;"",بيانات!B73,"")</f>
        <v/>
      </c>
      <c r="C73" s="34">
        <f>IF(بيانات!B73&lt;&gt;"",بيانات!C73,"")</f>
        <v/>
      </c>
      <c r="D73" s="35">
        <f>IF(بيانات!B73&lt;&gt;"",بيانات!Z73,"")</f>
        <v/>
      </c>
      <c r="E73" s="35" t="n"/>
      <c r="F73" s="35">
        <f>IF(E73="","",E73+30)</f>
        <v/>
      </c>
      <c r="G73" s="33" t="n"/>
      <c r="H73" s="31">
        <f>IF(بيانات!B73&lt;&gt;"",بيانات!AE73,"")</f>
        <v/>
      </c>
      <c r="I73" s="34">
        <f>IF(بيانات!B73&lt;&gt;"",بيانات!AJ73,"")</f>
        <v/>
      </c>
    </row>
    <row r="74" ht="22" customHeight="1">
      <c r="A74" s="31">
        <f>IF(بيانات!B74&lt;&gt;"",بيانات!A74,"")</f>
        <v/>
      </c>
      <c r="B74" s="34">
        <f>IF(بيانات!B74&lt;&gt;"",بيانات!B74,"")</f>
        <v/>
      </c>
      <c r="C74" s="34">
        <f>IF(بيانات!B74&lt;&gt;"",بيانات!C74,"")</f>
        <v/>
      </c>
      <c r="D74" s="35">
        <f>IF(بيانات!B74&lt;&gt;"",بيانات!Z74,"")</f>
        <v/>
      </c>
      <c r="E74" s="35" t="n"/>
      <c r="F74" s="35">
        <f>IF(E74="","",E74+30)</f>
        <v/>
      </c>
      <c r="G74" s="33" t="n"/>
      <c r="H74" s="31">
        <f>IF(بيانات!B74&lt;&gt;"",بيانات!AE74,"")</f>
        <v/>
      </c>
      <c r="I74" s="34">
        <f>IF(بيانات!B74&lt;&gt;"",بيانات!AJ74,"")</f>
        <v/>
      </c>
    </row>
    <row r="75" ht="22" customHeight="1">
      <c r="A75" s="31">
        <f>IF(بيانات!B75&lt;&gt;"",بيانات!A75,"")</f>
        <v/>
      </c>
      <c r="B75" s="34">
        <f>IF(بيانات!B75&lt;&gt;"",بيانات!B75,"")</f>
        <v/>
      </c>
      <c r="C75" s="34">
        <f>IF(بيانات!B75&lt;&gt;"",بيانات!C75,"")</f>
        <v/>
      </c>
      <c r="D75" s="35">
        <f>IF(بيانات!B75&lt;&gt;"",بيانات!Z75,"")</f>
        <v/>
      </c>
      <c r="E75" s="35" t="n"/>
      <c r="F75" s="35">
        <f>IF(E75="","",E75+30)</f>
        <v/>
      </c>
      <c r="G75" s="33" t="n"/>
      <c r="H75" s="31">
        <f>IF(بيانات!B75&lt;&gt;"",بيانات!AE75,"")</f>
        <v/>
      </c>
      <c r="I75" s="34">
        <f>IF(بيانات!B75&lt;&gt;"",بيانات!AJ75,"")</f>
        <v/>
      </c>
    </row>
    <row r="76" ht="22" customHeight="1">
      <c r="A76" s="31">
        <f>IF(بيانات!B76&lt;&gt;"",بيانات!A76,"")</f>
        <v/>
      </c>
      <c r="B76" s="34">
        <f>IF(بيانات!B76&lt;&gt;"",بيانات!B76,"")</f>
        <v/>
      </c>
      <c r="C76" s="34">
        <f>IF(بيانات!B76&lt;&gt;"",بيانات!C76,"")</f>
        <v/>
      </c>
      <c r="D76" s="35">
        <f>IF(بيانات!B76&lt;&gt;"",بيانات!Z76,"")</f>
        <v/>
      </c>
      <c r="E76" s="35" t="n"/>
      <c r="F76" s="35">
        <f>IF(E76="","",E76+30)</f>
        <v/>
      </c>
      <c r="G76" s="33" t="n"/>
      <c r="H76" s="31">
        <f>IF(بيانات!B76&lt;&gt;"",بيانات!AE76,"")</f>
        <v/>
      </c>
      <c r="I76" s="34">
        <f>IF(بيانات!B76&lt;&gt;"",بيانات!AJ76,"")</f>
        <v/>
      </c>
    </row>
    <row r="77" ht="22" customHeight="1">
      <c r="A77" s="31">
        <f>IF(بيانات!B77&lt;&gt;"",بيانات!A77,"")</f>
        <v/>
      </c>
      <c r="B77" s="34">
        <f>IF(بيانات!B77&lt;&gt;"",بيانات!B77,"")</f>
        <v/>
      </c>
      <c r="C77" s="34">
        <f>IF(بيانات!B77&lt;&gt;"",بيانات!C77,"")</f>
        <v/>
      </c>
      <c r="D77" s="35">
        <f>IF(بيانات!B77&lt;&gt;"",بيانات!Z77,"")</f>
        <v/>
      </c>
      <c r="E77" s="35" t="n"/>
      <c r="F77" s="35">
        <f>IF(E77="","",E77+30)</f>
        <v/>
      </c>
      <c r="G77" s="33" t="n"/>
      <c r="H77" s="31">
        <f>IF(بيانات!B77&lt;&gt;"",بيانات!AE77,"")</f>
        <v/>
      </c>
      <c r="I77" s="34">
        <f>IF(بيانات!B77&lt;&gt;"",بيانات!AJ77,"")</f>
        <v/>
      </c>
    </row>
    <row r="78" ht="22" customHeight="1">
      <c r="A78" s="31">
        <f>IF(بيانات!B78&lt;&gt;"",بيانات!A78,"")</f>
        <v/>
      </c>
      <c r="B78" s="34">
        <f>IF(بيانات!B78&lt;&gt;"",بيانات!B78,"")</f>
        <v/>
      </c>
      <c r="C78" s="34">
        <f>IF(بيانات!B78&lt;&gt;"",بيانات!C78,"")</f>
        <v/>
      </c>
      <c r="D78" s="35">
        <f>IF(بيانات!B78&lt;&gt;"",بيانات!Z78,"")</f>
        <v/>
      </c>
      <c r="E78" s="35" t="n"/>
      <c r="F78" s="35">
        <f>IF(E78="","",E78+30)</f>
        <v/>
      </c>
      <c r="G78" s="33" t="n"/>
      <c r="H78" s="31">
        <f>IF(بيانات!B78&lt;&gt;"",بيانات!AE78,"")</f>
        <v/>
      </c>
      <c r="I78" s="34">
        <f>IF(بيانات!B78&lt;&gt;"",بيانات!AJ78,"")</f>
        <v/>
      </c>
    </row>
    <row r="79" ht="22" customHeight="1">
      <c r="A79" s="31">
        <f>IF(بيانات!B79&lt;&gt;"",بيانات!A79,"")</f>
        <v/>
      </c>
      <c r="B79" s="34">
        <f>IF(بيانات!B79&lt;&gt;"",بيانات!B79,"")</f>
        <v/>
      </c>
      <c r="C79" s="34">
        <f>IF(بيانات!B79&lt;&gt;"",بيانات!C79,"")</f>
        <v/>
      </c>
      <c r="D79" s="35">
        <f>IF(بيانات!B79&lt;&gt;"",بيانات!Z79,"")</f>
        <v/>
      </c>
      <c r="E79" s="35" t="n"/>
      <c r="F79" s="35">
        <f>IF(E79="","",E79+30)</f>
        <v/>
      </c>
      <c r="G79" s="33" t="n"/>
      <c r="H79" s="31">
        <f>IF(بيانات!B79&lt;&gt;"",بيانات!AE79,"")</f>
        <v/>
      </c>
      <c r="I79" s="34">
        <f>IF(بيانات!B79&lt;&gt;"",بيانات!AJ79,"")</f>
        <v/>
      </c>
    </row>
    <row r="80" ht="22" customHeight="1">
      <c r="A80" s="31">
        <f>IF(بيانات!B80&lt;&gt;"",بيانات!A80,"")</f>
        <v/>
      </c>
      <c r="B80" s="34">
        <f>IF(بيانات!B80&lt;&gt;"",بيانات!B80,"")</f>
        <v/>
      </c>
      <c r="C80" s="34">
        <f>IF(بيانات!B80&lt;&gt;"",بيانات!C80,"")</f>
        <v/>
      </c>
      <c r="D80" s="35">
        <f>IF(بيانات!B80&lt;&gt;"",بيانات!Z80,"")</f>
        <v/>
      </c>
      <c r="E80" s="35" t="n"/>
      <c r="F80" s="35">
        <f>IF(E80="","",E80+30)</f>
        <v/>
      </c>
      <c r="G80" s="33" t="n"/>
      <c r="H80" s="31">
        <f>IF(بيانات!B80&lt;&gt;"",بيانات!AE80,"")</f>
        <v/>
      </c>
      <c r="I80" s="34">
        <f>IF(بيانات!B80&lt;&gt;"",بيانات!AJ80,"")</f>
        <v/>
      </c>
    </row>
    <row r="81" ht="22" customHeight="1">
      <c r="A81" s="31">
        <f>IF(بيانات!B81&lt;&gt;"",بيانات!A81,"")</f>
        <v/>
      </c>
      <c r="B81" s="34">
        <f>IF(بيانات!B81&lt;&gt;"",بيانات!B81,"")</f>
        <v/>
      </c>
      <c r="C81" s="34">
        <f>IF(بيانات!B81&lt;&gt;"",بيانات!C81,"")</f>
        <v/>
      </c>
      <c r="D81" s="35">
        <f>IF(بيانات!B81&lt;&gt;"",بيانات!Z81,"")</f>
        <v/>
      </c>
      <c r="E81" s="35" t="n"/>
      <c r="F81" s="35">
        <f>IF(E81="","",E81+30)</f>
        <v/>
      </c>
      <c r="G81" s="33" t="n"/>
      <c r="H81" s="31">
        <f>IF(بيانات!B81&lt;&gt;"",بيانات!AE81,"")</f>
        <v/>
      </c>
      <c r="I81" s="34">
        <f>IF(بيانات!B81&lt;&gt;"",بيانات!AJ81,"")</f>
        <v/>
      </c>
    </row>
    <row r="82" ht="22" customHeight="1">
      <c r="A82" s="31">
        <f>IF(بيانات!B82&lt;&gt;"",بيانات!A82,"")</f>
        <v/>
      </c>
      <c r="B82" s="34">
        <f>IF(بيانات!B82&lt;&gt;"",بيانات!B82,"")</f>
        <v/>
      </c>
      <c r="C82" s="34">
        <f>IF(بيانات!B82&lt;&gt;"",بيانات!C82,"")</f>
        <v/>
      </c>
      <c r="D82" s="35">
        <f>IF(بيانات!B82&lt;&gt;"",بيانات!Z82,"")</f>
        <v/>
      </c>
      <c r="E82" s="35" t="n"/>
      <c r="F82" s="35">
        <f>IF(E82="","",E82+30)</f>
        <v/>
      </c>
      <c r="G82" s="33" t="n"/>
      <c r="H82" s="31">
        <f>IF(بيانات!B82&lt;&gt;"",بيانات!AE82,"")</f>
        <v/>
      </c>
      <c r="I82" s="34">
        <f>IF(بيانات!B82&lt;&gt;"",بيانات!AJ82,"")</f>
        <v/>
      </c>
    </row>
    <row r="83" ht="22" customHeight="1">
      <c r="A83" s="31">
        <f>IF(بيانات!B83&lt;&gt;"",بيانات!A83,"")</f>
        <v/>
      </c>
      <c r="B83" s="34">
        <f>IF(بيانات!B83&lt;&gt;"",بيانات!B83,"")</f>
        <v/>
      </c>
      <c r="C83" s="34">
        <f>IF(بيانات!B83&lt;&gt;"",بيانات!C83,"")</f>
        <v/>
      </c>
      <c r="D83" s="35">
        <f>IF(بيانات!B83&lt;&gt;"",بيانات!Z83,"")</f>
        <v/>
      </c>
      <c r="E83" s="35" t="n"/>
      <c r="F83" s="35">
        <f>IF(E83="","",E83+30)</f>
        <v/>
      </c>
      <c r="G83" s="33" t="n"/>
      <c r="H83" s="31">
        <f>IF(بيانات!B83&lt;&gt;"",بيانات!AE83,"")</f>
        <v/>
      </c>
      <c r="I83" s="34">
        <f>IF(بيانات!B83&lt;&gt;"",بيانات!AJ83,"")</f>
        <v/>
      </c>
    </row>
    <row r="84" ht="22" customHeight="1">
      <c r="A84" s="31">
        <f>IF(بيانات!B84&lt;&gt;"",بيانات!A84,"")</f>
        <v/>
      </c>
      <c r="B84" s="34">
        <f>IF(بيانات!B84&lt;&gt;"",بيانات!B84,"")</f>
        <v/>
      </c>
      <c r="C84" s="34">
        <f>IF(بيانات!B84&lt;&gt;"",بيانات!C84,"")</f>
        <v/>
      </c>
      <c r="D84" s="35">
        <f>IF(بيانات!B84&lt;&gt;"",بيانات!Z84,"")</f>
        <v/>
      </c>
      <c r="E84" s="35" t="n"/>
      <c r="F84" s="35">
        <f>IF(E84="","",E84+30)</f>
        <v/>
      </c>
      <c r="G84" s="33" t="n"/>
      <c r="H84" s="31">
        <f>IF(بيانات!B84&lt;&gt;"",بيانات!AE84,"")</f>
        <v/>
      </c>
      <c r="I84" s="34">
        <f>IF(بيانات!B84&lt;&gt;"",بيانات!AJ84,"")</f>
        <v/>
      </c>
    </row>
    <row r="85" ht="22" customHeight="1">
      <c r="A85" s="31">
        <f>IF(بيانات!B85&lt;&gt;"",بيانات!A85,"")</f>
        <v/>
      </c>
      <c r="B85" s="34">
        <f>IF(بيانات!B85&lt;&gt;"",بيانات!B85,"")</f>
        <v/>
      </c>
      <c r="C85" s="34">
        <f>IF(بيانات!B85&lt;&gt;"",بيانات!C85,"")</f>
        <v/>
      </c>
      <c r="D85" s="35">
        <f>IF(بيانات!B85&lt;&gt;"",بيانات!Z85,"")</f>
        <v/>
      </c>
      <c r="E85" s="35" t="n"/>
      <c r="F85" s="35">
        <f>IF(E85="","",E85+30)</f>
        <v/>
      </c>
      <c r="G85" s="33" t="n"/>
      <c r="H85" s="31">
        <f>IF(بيانات!B85&lt;&gt;"",بيانات!AE85,"")</f>
        <v/>
      </c>
      <c r="I85" s="34">
        <f>IF(بيانات!B85&lt;&gt;"",بيانات!AJ85,"")</f>
        <v/>
      </c>
    </row>
    <row r="86" ht="22" customHeight="1">
      <c r="A86" s="31">
        <f>IF(بيانات!B86&lt;&gt;"",بيانات!A86,"")</f>
        <v/>
      </c>
      <c r="B86" s="34">
        <f>IF(بيانات!B86&lt;&gt;"",بيانات!B86,"")</f>
        <v/>
      </c>
      <c r="C86" s="34">
        <f>IF(بيانات!B86&lt;&gt;"",بيانات!C86,"")</f>
        <v/>
      </c>
      <c r="D86" s="35">
        <f>IF(بيانات!B86&lt;&gt;"",بيانات!Z86,"")</f>
        <v/>
      </c>
      <c r="E86" s="35" t="n"/>
      <c r="F86" s="35">
        <f>IF(E86="","",E86+30)</f>
        <v/>
      </c>
      <c r="G86" s="33" t="n"/>
      <c r="H86" s="31">
        <f>IF(بيانات!B86&lt;&gt;"",بيانات!AE86,"")</f>
        <v/>
      </c>
      <c r="I86" s="34">
        <f>IF(بيانات!B86&lt;&gt;"",بيانات!AJ86,"")</f>
        <v/>
      </c>
    </row>
    <row r="87" ht="22" customHeight="1">
      <c r="A87" s="31">
        <f>IF(بيانات!B87&lt;&gt;"",بيانات!A87,"")</f>
        <v/>
      </c>
      <c r="B87" s="34">
        <f>IF(بيانات!B87&lt;&gt;"",بيانات!B87,"")</f>
        <v/>
      </c>
      <c r="C87" s="34">
        <f>IF(بيانات!B87&lt;&gt;"",بيانات!C87,"")</f>
        <v/>
      </c>
      <c r="D87" s="35">
        <f>IF(بيانات!B87&lt;&gt;"",بيانات!Z87,"")</f>
        <v/>
      </c>
      <c r="E87" s="35" t="n"/>
      <c r="F87" s="35">
        <f>IF(E87="","",E87+30)</f>
        <v/>
      </c>
      <c r="G87" s="33" t="n"/>
      <c r="H87" s="31">
        <f>IF(بيانات!B87&lt;&gt;"",بيانات!AE87,"")</f>
        <v/>
      </c>
      <c r="I87" s="34">
        <f>IF(بيانات!B87&lt;&gt;"",بيانات!AJ87,"")</f>
        <v/>
      </c>
    </row>
    <row r="88" ht="22" customHeight="1">
      <c r="A88" s="31">
        <f>IF(بيانات!B88&lt;&gt;"",بيانات!A88,"")</f>
        <v/>
      </c>
      <c r="B88" s="34">
        <f>IF(بيانات!B88&lt;&gt;"",بيانات!B88,"")</f>
        <v/>
      </c>
      <c r="C88" s="34">
        <f>IF(بيانات!B88&lt;&gt;"",بيانات!C88,"")</f>
        <v/>
      </c>
      <c r="D88" s="35">
        <f>IF(بيانات!B88&lt;&gt;"",بيانات!Z88,"")</f>
        <v/>
      </c>
      <c r="E88" s="35" t="n"/>
      <c r="F88" s="35">
        <f>IF(E88="","",E88+30)</f>
        <v/>
      </c>
      <c r="G88" s="33" t="n"/>
      <c r="H88" s="31">
        <f>IF(بيانات!B88&lt;&gt;"",بيانات!AE88,"")</f>
        <v/>
      </c>
      <c r="I88" s="34">
        <f>IF(بيانات!B88&lt;&gt;"",بيانات!AJ88,"")</f>
        <v/>
      </c>
    </row>
    <row r="89" ht="22" customHeight="1">
      <c r="A89" s="31">
        <f>IF(بيانات!B89&lt;&gt;"",بيانات!A89,"")</f>
        <v/>
      </c>
      <c r="B89" s="34">
        <f>IF(بيانات!B89&lt;&gt;"",بيانات!B89,"")</f>
        <v/>
      </c>
      <c r="C89" s="34">
        <f>IF(بيانات!B89&lt;&gt;"",بيانات!C89,"")</f>
        <v/>
      </c>
      <c r="D89" s="35">
        <f>IF(بيانات!B89&lt;&gt;"",بيانات!Z89,"")</f>
        <v/>
      </c>
      <c r="E89" s="35" t="n"/>
      <c r="F89" s="35">
        <f>IF(E89="","",E89+30)</f>
        <v/>
      </c>
      <c r="G89" s="33" t="n"/>
      <c r="H89" s="31">
        <f>IF(بيانات!B89&lt;&gt;"",بيانات!AE89,"")</f>
        <v/>
      </c>
      <c r="I89" s="34">
        <f>IF(بيانات!B89&lt;&gt;"",بيانات!AJ89,"")</f>
        <v/>
      </c>
    </row>
    <row r="90" ht="22" customHeight="1">
      <c r="A90" s="31">
        <f>IF(بيانات!B90&lt;&gt;"",بيانات!A90,"")</f>
        <v/>
      </c>
      <c r="B90" s="34">
        <f>IF(بيانات!B90&lt;&gt;"",بيانات!B90,"")</f>
        <v/>
      </c>
      <c r="C90" s="34">
        <f>IF(بيانات!B90&lt;&gt;"",بيانات!C90,"")</f>
        <v/>
      </c>
      <c r="D90" s="35">
        <f>IF(بيانات!B90&lt;&gt;"",بيانات!Z90,"")</f>
        <v/>
      </c>
      <c r="E90" s="35" t="n"/>
      <c r="F90" s="35">
        <f>IF(E90="","",E90+30)</f>
        <v/>
      </c>
      <c r="G90" s="33" t="n"/>
      <c r="H90" s="31">
        <f>IF(بيانات!B90&lt;&gt;"",بيانات!AE90,"")</f>
        <v/>
      </c>
      <c r="I90" s="34">
        <f>IF(بيانات!B90&lt;&gt;"",بيانات!AJ90,"")</f>
        <v/>
      </c>
    </row>
    <row r="91" ht="22" customHeight="1">
      <c r="A91" s="31">
        <f>IF(بيانات!B91&lt;&gt;"",بيانات!A91,"")</f>
        <v/>
      </c>
      <c r="B91" s="34">
        <f>IF(بيانات!B91&lt;&gt;"",بيانات!B91,"")</f>
        <v/>
      </c>
      <c r="C91" s="34">
        <f>IF(بيانات!B91&lt;&gt;"",بيانات!C91,"")</f>
        <v/>
      </c>
      <c r="D91" s="35">
        <f>IF(بيانات!B91&lt;&gt;"",بيانات!Z91,"")</f>
        <v/>
      </c>
      <c r="E91" s="35" t="n"/>
      <c r="F91" s="35">
        <f>IF(E91="","",E91+30)</f>
        <v/>
      </c>
      <c r="G91" s="33" t="n"/>
      <c r="H91" s="31">
        <f>IF(بيانات!B91&lt;&gt;"",بيانات!AE91,"")</f>
        <v/>
      </c>
      <c r="I91" s="34">
        <f>IF(بيانات!B91&lt;&gt;"",بيانات!AJ91,"")</f>
        <v/>
      </c>
    </row>
    <row r="92" ht="22" customHeight="1">
      <c r="A92" s="31">
        <f>IF(بيانات!B92&lt;&gt;"",بيانات!A92,"")</f>
        <v/>
      </c>
      <c r="B92" s="34">
        <f>IF(بيانات!B92&lt;&gt;"",بيانات!B92,"")</f>
        <v/>
      </c>
      <c r="C92" s="34">
        <f>IF(بيانات!B92&lt;&gt;"",بيانات!C92,"")</f>
        <v/>
      </c>
      <c r="D92" s="35">
        <f>IF(بيانات!B92&lt;&gt;"",بيانات!Z92,"")</f>
        <v/>
      </c>
      <c r="E92" s="35" t="n"/>
      <c r="F92" s="35">
        <f>IF(E92="","",E92+30)</f>
        <v/>
      </c>
      <c r="G92" s="33" t="n"/>
      <c r="H92" s="31">
        <f>IF(بيانات!B92&lt;&gt;"",بيانات!AE92,"")</f>
        <v/>
      </c>
      <c r="I92" s="34">
        <f>IF(بيانات!B92&lt;&gt;"",بيانات!AJ92,"")</f>
        <v/>
      </c>
    </row>
    <row r="93" ht="22" customHeight="1">
      <c r="A93" s="31">
        <f>IF(بيانات!B93&lt;&gt;"",بيانات!A93,"")</f>
        <v/>
      </c>
      <c r="B93" s="34">
        <f>IF(بيانات!B93&lt;&gt;"",بيانات!B93,"")</f>
        <v/>
      </c>
      <c r="C93" s="34">
        <f>IF(بيانات!B93&lt;&gt;"",بيانات!C93,"")</f>
        <v/>
      </c>
      <c r="D93" s="35">
        <f>IF(بيانات!B93&lt;&gt;"",بيانات!Z93,"")</f>
        <v/>
      </c>
      <c r="E93" s="35" t="n"/>
      <c r="F93" s="35">
        <f>IF(E93="","",E93+30)</f>
        <v/>
      </c>
      <c r="G93" s="33" t="n"/>
      <c r="H93" s="31">
        <f>IF(بيانات!B93&lt;&gt;"",بيانات!AE93,"")</f>
        <v/>
      </c>
      <c r="I93" s="34">
        <f>IF(بيانات!B93&lt;&gt;"",بيانات!AJ93,"")</f>
        <v/>
      </c>
    </row>
    <row r="94" ht="22" customHeight="1">
      <c r="A94" s="31">
        <f>IF(بيانات!B94&lt;&gt;"",بيانات!A94,"")</f>
        <v/>
      </c>
      <c r="B94" s="34">
        <f>IF(بيانات!B94&lt;&gt;"",بيانات!B94,"")</f>
        <v/>
      </c>
      <c r="C94" s="34">
        <f>IF(بيانات!B94&lt;&gt;"",بيانات!C94,"")</f>
        <v/>
      </c>
      <c r="D94" s="35">
        <f>IF(بيانات!B94&lt;&gt;"",بيانات!Z94,"")</f>
        <v/>
      </c>
      <c r="E94" s="35" t="n"/>
      <c r="F94" s="35">
        <f>IF(E94="","",E94+30)</f>
        <v/>
      </c>
      <c r="G94" s="33" t="n"/>
      <c r="H94" s="31">
        <f>IF(بيانات!B94&lt;&gt;"",بيانات!AE94,"")</f>
        <v/>
      </c>
      <c r="I94" s="34">
        <f>IF(بيانات!B94&lt;&gt;"",بيانات!AJ94,"")</f>
        <v/>
      </c>
    </row>
    <row r="95" ht="22" customHeight="1">
      <c r="A95" s="31">
        <f>IF(بيانات!B95&lt;&gt;"",بيانات!A95,"")</f>
        <v/>
      </c>
      <c r="B95" s="34">
        <f>IF(بيانات!B95&lt;&gt;"",بيانات!B95,"")</f>
        <v/>
      </c>
      <c r="C95" s="34">
        <f>IF(بيانات!B95&lt;&gt;"",بيانات!C95,"")</f>
        <v/>
      </c>
      <c r="D95" s="35">
        <f>IF(بيانات!B95&lt;&gt;"",بيانات!Z95,"")</f>
        <v/>
      </c>
      <c r="E95" s="35" t="n"/>
      <c r="F95" s="35">
        <f>IF(E95="","",E95+30)</f>
        <v/>
      </c>
      <c r="G95" s="33" t="n"/>
      <c r="H95" s="31">
        <f>IF(بيانات!B95&lt;&gt;"",بيانات!AE95,"")</f>
        <v/>
      </c>
      <c r="I95" s="34">
        <f>IF(بيانات!B95&lt;&gt;"",بيانات!AJ95,"")</f>
        <v/>
      </c>
    </row>
    <row r="96" ht="22" customHeight="1">
      <c r="A96" s="31">
        <f>IF(بيانات!B96&lt;&gt;"",بيانات!A96,"")</f>
        <v/>
      </c>
      <c r="B96" s="34">
        <f>IF(بيانات!B96&lt;&gt;"",بيانات!B96,"")</f>
        <v/>
      </c>
      <c r="C96" s="34">
        <f>IF(بيانات!B96&lt;&gt;"",بيانات!C96,"")</f>
        <v/>
      </c>
      <c r="D96" s="35">
        <f>IF(بيانات!B96&lt;&gt;"",بيانات!Z96,"")</f>
        <v/>
      </c>
      <c r="E96" s="35" t="n"/>
      <c r="F96" s="35">
        <f>IF(E96="","",E96+30)</f>
        <v/>
      </c>
      <c r="G96" s="33" t="n"/>
      <c r="H96" s="31">
        <f>IF(بيانات!B96&lt;&gt;"",بيانات!AE96,"")</f>
        <v/>
      </c>
      <c r="I96" s="34">
        <f>IF(بيانات!B96&lt;&gt;"",بيانات!AJ96,"")</f>
        <v/>
      </c>
    </row>
    <row r="97" ht="22" customHeight="1">
      <c r="A97" s="31">
        <f>IF(بيانات!B97&lt;&gt;"",بيانات!A97,"")</f>
        <v/>
      </c>
      <c r="B97" s="34">
        <f>IF(بيانات!B97&lt;&gt;"",بيانات!B97,"")</f>
        <v/>
      </c>
      <c r="C97" s="34">
        <f>IF(بيانات!B97&lt;&gt;"",بيانات!C97,"")</f>
        <v/>
      </c>
      <c r="D97" s="35">
        <f>IF(بيانات!B97&lt;&gt;"",بيانات!Z97,"")</f>
        <v/>
      </c>
      <c r="E97" s="35" t="n"/>
      <c r="F97" s="35">
        <f>IF(E97="","",E97+30)</f>
        <v/>
      </c>
      <c r="G97" s="33" t="n"/>
      <c r="H97" s="31">
        <f>IF(بيانات!B97&lt;&gt;"",بيانات!AE97,"")</f>
        <v/>
      </c>
      <c r="I97" s="34">
        <f>IF(بيانات!B97&lt;&gt;"",بيانات!AJ97,"")</f>
        <v/>
      </c>
    </row>
    <row r="98" ht="22" customHeight="1">
      <c r="A98" s="31">
        <f>IF(بيانات!B98&lt;&gt;"",بيانات!A98,"")</f>
        <v/>
      </c>
      <c r="B98" s="34">
        <f>IF(بيانات!B98&lt;&gt;"",بيانات!B98,"")</f>
        <v/>
      </c>
      <c r="C98" s="34">
        <f>IF(بيانات!B98&lt;&gt;"",بيانات!C98,"")</f>
        <v/>
      </c>
      <c r="D98" s="35">
        <f>IF(بيانات!B98&lt;&gt;"",بيانات!Z98,"")</f>
        <v/>
      </c>
      <c r="E98" s="35" t="n"/>
      <c r="F98" s="35">
        <f>IF(E98="","",E98+30)</f>
        <v/>
      </c>
      <c r="G98" s="33" t="n"/>
      <c r="H98" s="31">
        <f>IF(بيانات!B98&lt;&gt;"",بيانات!AE98,"")</f>
        <v/>
      </c>
      <c r="I98" s="34">
        <f>IF(بيانات!B98&lt;&gt;"",بيانات!AJ98,"")</f>
        <v/>
      </c>
    </row>
    <row r="99" ht="22" customHeight="1">
      <c r="A99" s="31">
        <f>IF(بيانات!B99&lt;&gt;"",بيانات!A99,"")</f>
        <v/>
      </c>
      <c r="B99" s="34">
        <f>IF(بيانات!B99&lt;&gt;"",بيانات!B99,"")</f>
        <v/>
      </c>
      <c r="C99" s="34">
        <f>IF(بيانات!B99&lt;&gt;"",بيانات!C99,"")</f>
        <v/>
      </c>
      <c r="D99" s="35">
        <f>IF(بيانات!B99&lt;&gt;"",بيانات!Z99,"")</f>
        <v/>
      </c>
      <c r="E99" s="35" t="n"/>
      <c r="F99" s="35">
        <f>IF(E99="","",E99+30)</f>
        <v/>
      </c>
      <c r="G99" s="33" t="n"/>
      <c r="H99" s="31">
        <f>IF(بيانات!B99&lt;&gt;"",بيانات!AE99,"")</f>
        <v/>
      </c>
      <c r="I99" s="34">
        <f>IF(بيانات!B99&lt;&gt;"",بيانات!AJ99,"")</f>
        <v/>
      </c>
    </row>
    <row r="100" ht="22" customHeight="1">
      <c r="A100" s="31">
        <f>IF(بيانات!B100&lt;&gt;"",بيانات!A100,"")</f>
        <v/>
      </c>
      <c r="B100" s="34">
        <f>IF(بيانات!B100&lt;&gt;"",بيانات!B100,"")</f>
        <v/>
      </c>
      <c r="C100" s="34">
        <f>IF(بيانات!B100&lt;&gt;"",بيانات!C100,"")</f>
        <v/>
      </c>
      <c r="D100" s="35">
        <f>IF(بيانات!B100&lt;&gt;"",بيانات!Z100,"")</f>
        <v/>
      </c>
      <c r="E100" s="35" t="n"/>
      <c r="F100" s="35">
        <f>IF(E100="","",E100+30)</f>
        <v/>
      </c>
      <c r="G100" s="33" t="n"/>
      <c r="H100" s="31">
        <f>IF(بيانات!B100&lt;&gt;"",بيانات!AE100,"")</f>
        <v/>
      </c>
      <c r="I100" s="34">
        <f>IF(بيانات!B100&lt;&gt;"",بيانات!AJ100,"")</f>
        <v/>
      </c>
    </row>
    <row r="101" ht="22" customHeight="1">
      <c r="A101" s="31">
        <f>IF(بيانات!B101&lt;&gt;"",بيانات!A101,"")</f>
        <v/>
      </c>
      <c r="B101" s="34">
        <f>IF(بيانات!B101&lt;&gt;"",بيانات!B101,"")</f>
        <v/>
      </c>
      <c r="C101" s="34">
        <f>IF(بيانات!B101&lt;&gt;"",بيانات!C101,"")</f>
        <v/>
      </c>
      <c r="D101" s="35">
        <f>IF(بيانات!B101&lt;&gt;"",بيانات!Z101,"")</f>
        <v/>
      </c>
      <c r="E101" s="35" t="n"/>
      <c r="F101" s="35">
        <f>IF(E101="","",E101+30)</f>
        <v/>
      </c>
      <c r="G101" s="33" t="n"/>
      <c r="H101" s="31">
        <f>IF(بيانات!B101&lt;&gt;"",بيانات!AE101,"")</f>
        <v/>
      </c>
      <c r="I101" s="34">
        <f>IF(بيانات!B101&lt;&gt;"",بيانات!AJ101,"")</f>
        <v/>
      </c>
    </row>
    <row r="102" ht="22" customHeight="1">
      <c r="A102" s="31">
        <f>IF(بيانات!B102&lt;&gt;"",بيانات!A102,"")</f>
        <v/>
      </c>
      <c r="B102" s="34">
        <f>IF(بيانات!B102&lt;&gt;"",بيانات!B102,"")</f>
        <v/>
      </c>
      <c r="C102" s="34">
        <f>IF(بيانات!B102&lt;&gt;"",بيانات!C102,"")</f>
        <v/>
      </c>
      <c r="D102" s="35">
        <f>IF(بيانات!B102&lt;&gt;"",بيانات!Z102,"")</f>
        <v/>
      </c>
      <c r="E102" s="35" t="n"/>
      <c r="F102" s="35">
        <f>IF(E102="","",E102+30)</f>
        <v/>
      </c>
      <c r="G102" s="33" t="n"/>
      <c r="H102" s="31">
        <f>IF(بيانات!B102&lt;&gt;"",بيانات!AE102,"")</f>
        <v/>
      </c>
      <c r="I102" s="34">
        <f>IF(بيانات!B102&lt;&gt;"",بيانات!AJ102,"")</f>
        <v/>
      </c>
    </row>
    <row r="103" ht="22" customHeight="1">
      <c r="A103" s="31">
        <f>IF(بيانات!B103&lt;&gt;"",بيانات!A103,"")</f>
        <v/>
      </c>
      <c r="B103" s="34">
        <f>IF(بيانات!B103&lt;&gt;"",بيانات!B103,"")</f>
        <v/>
      </c>
      <c r="C103" s="34">
        <f>IF(بيانات!B103&lt;&gt;"",بيانات!C103,"")</f>
        <v/>
      </c>
      <c r="D103" s="35">
        <f>IF(بيانات!B103&lt;&gt;"",بيانات!Z103,"")</f>
        <v/>
      </c>
      <c r="E103" s="35" t="n"/>
      <c r="F103" s="35">
        <f>IF(E103="","",E103+30)</f>
        <v/>
      </c>
      <c r="G103" s="33" t="n"/>
      <c r="H103" s="31">
        <f>IF(بيانات!B103&lt;&gt;"",بيانات!AE103,"")</f>
        <v/>
      </c>
      <c r="I103" s="34">
        <f>IF(بيانات!B103&lt;&gt;"",بيانات!AJ103,"")</f>
        <v/>
      </c>
    </row>
    <row r="104" ht="22" customHeight="1">
      <c r="A104" s="31">
        <f>IF(بيانات!B104&lt;&gt;"",بيانات!A104,"")</f>
        <v/>
      </c>
      <c r="B104" s="34">
        <f>IF(بيانات!B104&lt;&gt;"",بيانات!B104,"")</f>
        <v/>
      </c>
      <c r="C104" s="34">
        <f>IF(بيانات!B104&lt;&gt;"",بيانات!C104,"")</f>
        <v/>
      </c>
      <c r="D104" s="35">
        <f>IF(بيانات!B104&lt;&gt;"",بيانات!Z104,"")</f>
        <v/>
      </c>
      <c r="E104" s="35" t="n"/>
      <c r="F104" s="35">
        <f>IF(E104="","",E104+30)</f>
        <v/>
      </c>
      <c r="G104" s="33" t="n"/>
      <c r="H104" s="31">
        <f>IF(بيانات!B104&lt;&gt;"",بيانات!AE104,"")</f>
        <v/>
      </c>
      <c r="I104" s="34">
        <f>IF(بيانات!B104&lt;&gt;"",بيانات!AJ104,"")</f>
        <v/>
      </c>
    </row>
    <row r="105" ht="22" customHeight="1">
      <c r="A105" s="31">
        <f>IF(بيانات!B105&lt;&gt;"",بيانات!A105,"")</f>
        <v/>
      </c>
      <c r="B105" s="34">
        <f>IF(بيانات!B105&lt;&gt;"",بيانات!B105,"")</f>
        <v/>
      </c>
      <c r="C105" s="34">
        <f>IF(بيانات!B105&lt;&gt;"",بيانات!C105,"")</f>
        <v/>
      </c>
      <c r="D105" s="35">
        <f>IF(بيانات!B105&lt;&gt;"",بيانات!Z105,"")</f>
        <v/>
      </c>
      <c r="E105" s="35" t="n"/>
      <c r="F105" s="35">
        <f>IF(E105="","",E105+30)</f>
        <v/>
      </c>
      <c r="G105" s="33" t="n"/>
      <c r="H105" s="31">
        <f>IF(بيانات!B105&lt;&gt;"",بيانات!AE105,"")</f>
        <v/>
      </c>
      <c r="I105" s="34">
        <f>IF(بيانات!B105&lt;&gt;"",بيانات!AJ105,"")</f>
        <v/>
      </c>
    </row>
    <row r="106" ht="22" customHeight="1">
      <c r="A106" s="31">
        <f>IF(بيانات!B106&lt;&gt;"",بيانات!A106,"")</f>
        <v/>
      </c>
      <c r="B106" s="34">
        <f>IF(بيانات!B106&lt;&gt;"",بيانات!B106,"")</f>
        <v/>
      </c>
      <c r="C106" s="34">
        <f>IF(بيانات!B106&lt;&gt;"",بيانات!C106,"")</f>
        <v/>
      </c>
      <c r="D106" s="35">
        <f>IF(بيانات!B106&lt;&gt;"",بيانات!Z106,"")</f>
        <v/>
      </c>
      <c r="E106" s="35" t="n"/>
      <c r="F106" s="35">
        <f>IF(E106="","",E106+30)</f>
        <v/>
      </c>
      <c r="G106" s="33" t="n"/>
      <c r="H106" s="31">
        <f>IF(بيانات!B106&lt;&gt;"",بيانات!AE106,"")</f>
        <v/>
      </c>
      <c r="I106" s="34">
        <f>IF(بيانات!B106&lt;&gt;"",بيانات!AJ106,"")</f>
        <v/>
      </c>
    </row>
    <row r="107" ht="22" customHeight="1">
      <c r="A107" s="31">
        <f>IF(بيانات!B107&lt;&gt;"",بيانات!A107,"")</f>
        <v/>
      </c>
      <c r="B107" s="34">
        <f>IF(بيانات!B107&lt;&gt;"",بيانات!B107,"")</f>
        <v/>
      </c>
      <c r="C107" s="34">
        <f>IF(بيانات!B107&lt;&gt;"",بيانات!C107,"")</f>
        <v/>
      </c>
      <c r="D107" s="35">
        <f>IF(بيانات!B107&lt;&gt;"",بيانات!Z107,"")</f>
        <v/>
      </c>
      <c r="E107" s="35" t="n"/>
      <c r="F107" s="35">
        <f>IF(E107="","",E107+30)</f>
        <v/>
      </c>
      <c r="G107" s="33" t="n"/>
      <c r="H107" s="31">
        <f>IF(بيانات!B107&lt;&gt;"",بيانات!AE107,"")</f>
        <v/>
      </c>
      <c r="I107" s="34">
        <f>IF(بيانات!B107&lt;&gt;"",بيانات!AJ107,"")</f>
        <v/>
      </c>
    </row>
    <row r="108" ht="22" customHeight="1">
      <c r="A108" s="31">
        <f>IF(بيانات!B108&lt;&gt;"",بيانات!A108,"")</f>
        <v/>
      </c>
      <c r="B108" s="34">
        <f>IF(بيانات!B108&lt;&gt;"",بيانات!B108,"")</f>
        <v/>
      </c>
      <c r="C108" s="34">
        <f>IF(بيانات!B108&lt;&gt;"",بيانات!C108,"")</f>
        <v/>
      </c>
      <c r="D108" s="35">
        <f>IF(بيانات!B108&lt;&gt;"",بيانات!Z108,"")</f>
        <v/>
      </c>
      <c r="E108" s="35" t="n"/>
      <c r="F108" s="35">
        <f>IF(E108="","",E108+30)</f>
        <v/>
      </c>
      <c r="G108" s="33" t="n"/>
      <c r="H108" s="31">
        <f>IF(بيانات!B108&lt;&gt;"",بيانات!AE108,"")</f>
        <v/>
      </c>
      <c r="I108" s="34">
        <f>IF(بيانات!B108&lt;&gt;"",بيانات!AJ108,"")</f>
        <v/>
      </c>
    </row>
    <row r="109" ht="22" customHeight="1">
      <c r="A109" s="31">
        <f>IF(بيانات!B109&lt;&gt;"",بيانات!A109,"")</f>
        <v/>
      </c>
      <c r="B109" s="34">
        <f>IF(بيانات!B109&lt;&gt;"",بيانات!B109,"")</f>
        <v/>
      </c>
      <c r="C109" s="34">
        <f>IF(بيانات!B109&lt;&gt;"",بيانات!C109,"")</f>
        <v/>
      </c>
      <c r="D109" s="35">
        <f>IF(بيانات!B109&lt;&gt;"",بيانات!Z109,"")</f>
        <v/>
      </c>
      <c r="E109" s="35" t="n"/>
      <c r="F109" s="35">
        <f>IF(E109="","",E109+30)</f>
        <v/>
      </c>
      <c r="G109" s="33" t="n"/>
      <c r="H109" s="31">
        <f>IF(بيانات!B109&lt;&gt;"",بيانات!AE109,"")</f>
        <v/>
      </c>
      <c r="I109" s="34">
        <f>IF(بيانات!B109&lt;&gt;"",بيانات!AJ109,"")</f>
        <v/>
      </c>
    </row>
    <row r="110" ht="22" customHeight="1">
      <c r="A110" s="31">
        <f>IF(بيانات!B110&lt;&gt;"",بيانات!A110,"")</f>
        <v/>
      </c>
      <c r="B110" s="34">
        <f>IF(بيانات!B110&lt;&gt;"",بيانات!B110,"")</f>
        <v/>
      </c>
      <c r="C110" s="34">
        <f>IF(بيانات!B110&lt;&gt;"",بيانات!C110,"")</f>
        <v/>
      </c>
      <c r="D110" s="35">
        <f>IF(بيانات!B110&lt;&gt;"",بيانات!Z110,"")</f>
        <v/>
      </c>
      <c r="E110" s="35" t="n"/>
      <c r="F110" s="35">
        <f>IF(E110="","",E110+30)</f>
        <v/>
      </c>
      <c r="G110" s="33" t="n"/>
      <c r="H110" s="31">
        <f>IF(بيانات!B110&lt;&gt;"",بيانات!AE110,"")</f>
        <v/>
      </c>
      <c r="I110" s="34">
        <f>IF(بيانات!B110&lt;&gt;"",بيانات!AJ110,"")</f>
        <v/>
      </c>
    </row>
    <row r="111" ht="22" customHeight="1">
      <c r="A111" s="31">
        <f>IF(بيانات!B111&lt;&gt;"",بيانات!A111,"")</f>
        <v/>
      </c>
      <c r="B111" s="34">
        <f>IF(بيانات!B111&lt;&gt;"",بيانات!B111,"")</f>
        <v/>
      </c>
      <c r="C111" s="34">
        <f>IF(بيانات!B111&lt;&gt;"",بيانات!C111,"")</f>
        <v/>
      </c>
      <c r="D111" s="35">
        <f>IF(بيانات!B111&lt;&gt;"",بيانات!Z111,"")</f>
        <v/>
      </c>
      <c r="E111" s="35" t="n"/>
      <c r="F111" s="35">
        <f>IF(E111="","",E111+30)</f>
        <v/>
      </c>
      <c r="G111" s="33" t="n"/>
      <c r="H111" s="31">
        <f>IF(بيانات!B111&lt;&gt;"",بيانات!AE111,"")</f>
        <v/>
      </c>
      <c r="I111" s="34">
        <f>IF(بيانات!B111&lt;&gt;"",بيانات!AJ111,"")</f>
        <v/>
      </c>
    </row>
    <row r="112" ht="22" customHeight="1">
      <c r="A112" s="31">
        <f>IF(بيانات!B112&lt;&gt;"",بيانات!A112,"")</f>
        <v/>
      </c>
      <c r="B112" s="34">
        <f>IF(بيانات!B112&lt;&gt;"",بيانات!B112,"")</f>
        <v/>
      </c>
      <c r="C112" s="34">
        <f>IF(بيانات!B112&lt;&gt;"",بيانات!C112,"")</f>
        <v/>
      </c>
      <c r="D112" s="35">
        <f>IF(بيانات!B112&lt;&gt;"",بيانات!Z112,"")</f>
        <v/>
      </c>
      <c r="E112" s="35" t="n"/>
      <c r="F112" s="35">
        <f>IF(E112="","",E112+30)</f>
        <v/>
      </c>
      <c r="G112" s="33" t="n"/>
      <c r="H112" s="31">
        <f>IF(بيانات!B112&lt;&gt;"",بيانات!AE112,"")</f>
        <v/>
      </c>
      <c r="I112" s="34">
        <f>IF(بيانات!B112&lt;&gt;"",بيانات!AJ112,"")</f>
        <v/>
      </c>
    </row>
    <row r="113" ht="22" customHeight="1">
      <c r="A113" s="31">
        <f>IF(بيانات!B113&lt;&gt;"",بيانات!A113,"")</f>
        <v/>
      </c>
      <c r="B113" s="34">
        <f>IF(بيانات!B113&lt;&gt;"",بيانات!B113,"")</f>
        <v/>
      </c>
      <c r="C113" s="34">
        <f>IF(بيانات!B113&lt;&gt;"",بيانات!C113,"")</f>
        <v/>
      </c>
      <c r="D113" s="35">
        <f>IF(بيانات!B113&lt;&gt;"",بيانات!Z113,"")</f>
        <v/>
      </c>
      <c r="E113" s="35" t="n"/>
      <c r="F113" s="35">
        <f>IF(E113="","",E113+30)</f>
        <v/>
      </c>
      <c r="G113" s="33" t="n"/>
      <c r="H113" s="31">
        <f>IF(بيانات!B113&lt;&gt;"",بيانات!AE113,"")</f>
        <v/>
      </c>
      <c r="I113" s="34">
        <f>IF(بيانات!B113&lt;&gt;"",بيانات!AJ113,"")</f>
        <v/>
      </c>
    </row>
    <row r="114" ht="22" customHeight="1">
      <c r="A114" s="31">
        <f>IF(بيانات!B114&lt;&gt;"",بيانات!A114,"")</f>
        <v/>
      </c>
      <c r="B114" s="34">
        <f>IF(بيانات!B114&lt;&gt;"",بيانات!B114,"")</f>
        <v/>
      </c>
      <c r="C114" s="34">
        <f>IF(بيانات!B114&lt;&gt;"",بيانات!C114,"")</f>
        <v/>
      </c>
      <c r="D114" s="35">
        <f>IF(بيانات!B114&lt;&gt;"",بيانات!Z114,"")</f>
        <v/>
      </c>
      <c r="E114" s="35" t="n"/>
      <c r="F114" s="35">
        <f>IF(E114="","",E114+30)</f>
        <v/>
      </c>
      <c r="G114" s="33" t="n"/>
      <c r="H114" s="31">
        <f>IF(بيانات!B114&lt;&gt;"",بيانات!AE114,"")</f>
        <v/>
      </c>
      <c r="I114" s="34">
        <f>IF(بيانات!B114&lt;&gt;"",بيانات!AJ114,"")</f>
        <v/>
      </c>
    </row>
    <row r="115" ht="22" customHeight="1">
      <c r="A115" s="31">
        <f>IF(بيانات!B115&lt;&gt;"",بيانات!A115,"")</f>
        <v/>
      </c>
      <c r="B115" s="34">
        <f>IF(بيانات!B115&lt;&gt;"",بيانات!B115,"")</f>
        <v/>
      </c>
      <c r="C115" s="34">
        <f>IF(بيانات!B115&lt;&gt;"",بيانات!C115,"")</f>
        <v/>
      </c>
      <c r="D115" s="35">
        <f>IF(بيانات!B115&lt;&gt;"",بيانات!Z115,"")</f>
        <v/>
      </c>
      <c r="E115" s="35" t="n"/>
      <c r="F115" s="35">
        <f>IF(E115="","",E115+30)</f>
        <v/>
      </c>
      <c r="G115" s="33" t="n"/>
      <c r="H115" s="31">
        <f>IF(بيانات!B115&lt;&gt;"",بيانات!AE115,"")</f>
        <v/>
      </c>
      <c r="I115" s="34">
        <f>IF(بيانات!B115&lt;&gt;"",بيانات!AJ115,"")</f>
        <v/>
      </c>
    </row>
    <row r="116" ht="22" customHeight="1">
      <c r="A116" s="31">
        <f>IF(بيانات!B116&lt;&gt;"",بيانات!A116,"")</f>
        <v/>
      </c>
      <c r="B116" s="34">
        <f>IF(بيانات!B116&lt;&gt;"",بيانات!B116,"")</f>
        <v/>
      </c>
      <c r="C116" s="34">
        <f>IF(بيانات!B116&lt;&gt;"",بيانات!C116,"")</f>
        <v/>
      </c>
      <c r="D116" s="35">
        <f>IF(بيانات!B116&lt;&gt;"",بيانات!Z116,"")</f>
        <v/>
      </c>
      <c r="E116" s="35" t="n"/>
      <c r="F116" s="35">
        <f>IF(E116="","",E116+30)</f>
        <v/>
      </c>
      <c r="G116" s="33" t="n"/>
      <c r="H116" s="31">
        <f>IF(بيانات!B116&lt;&gt;"",بيانات!AE116,"")</f>
        <v/>
      </c>
      <c r="I116" s="34">
        <f>IF(بيانات!B116&lt;&gt;"",بيانات!AJ116,"")</f>
        <v/>
      </c>
    </row>
    <row r="117" ht="22" customHeight="1">
      <c r="A117" s="31">
        <f>IF(بيانات!B117&lt;&gt;"",بيانات!A117,"")</f>
        <v/>
      </c>
      <c r="B117" s="34">
        <f>IF(بيانات!B117&lt;&gt;"",بيانات!B117,"")</f>
        <v/>
      </c>
      <c r="C117" s="34">
        <f>IF(بيانات!B117&lt;&gt;"",بيانات!C117,"")</f>
        <v/>
      </c>
      <c r="D117" s="35">
        <f>IF(بيانات!B117&lt;&gt;"",بيانات!Z117,"")</f>
        <v/>
      </c>
      <c r="E117" s="35" t="n"/>
      <c r="F117" s="35">
        <f>IF(E117="","",E117+30)</f>
        <v/>
      </c>
      <c r="G117" s="33" t="n"/>
      <c r="H117" s="31">
        <f>IF(بيانات!B117&lt;&gt;"",بيانات!AE117,"")</f>
        <v/>
      </c>
      <c r="I117" s="34">
        <f>IF(بيانات!B117&lt;&gt;"",بيانات!AJ117,"")</f>
        <v/>
      </c>
    </row>
    <row r="118" ht="22" customHeight="1">
      <c r="A118" s="31">
        <f>IF(بيانات!B118&lt;&gt;"",بيانات!A118,"")</f>
        <v/>
      </c>
      <c r="B118" s="34">
        <f>IF(بيانات!B118&lt;&gt;"",بيانات!B118,"")</f>
        <v/>
      </c>
      <c r="C118" s="34">
        <f>IF(بيانات!B118&lt;&gt;"",بيانات!C118,"")</f>
        <v/>
      </c>
      <c r="D118" s="35">
        <f>IF(بيانات!B118&lt;&gt;"",بيانات!Z118,"")</f>
        <v/>
      </c>
      <c r="E118" s="35" t="n"/>
      <c r="F118" s="35">
        <f>IF(E118="","",E118+30)</f>
        <v/>
      </c>
      <c r="G118" s="33" t="n"/>
      <c r="H118" s="31">
        <f>IF(بيانات!B118&lt;&gt;"",بيانات!AE118,"")</f>
        <v/>
      </c>
      <c r="I118" s="34">
        <f>IF(بيانات!B118&lt;&gt;"",بيانات!AJ118,"")</f>
        <v/>
      </c>
    </row>
    <row r="119" ht="22" customHeight="1">
      <c r="A119" s="31">
        <f>IF(بيانات!B119&lt;&gt;"",بيانات!A119,"")</f>
        <v/>
      </c>
      <c r="B119" s="34">
        <f>IF(بيانات!B119&lt;&gt;"",بيانات!B119,"")</f>
        <v/>
      </c>
      <c r="C119" s="34">
        <f>IF(بيانات!B119&lt;&gt;"",بيانات!C119,"")</f>
        <v/>
      </c>
      <c r="D119" s="35">
        <f>IF(بيانات!B119&lt;&gt;"",بيانات!Z119,"")</f>
        <v/>
      </c>
      <c r="E119" s="35" t="n"/>
      <c r="F119" s="35">
        <f>IF(E119="","",E119+30)</f>
        <v/>
      </c>
      <c r="G119" s="33" t="n"/>
      <c r="H119" s="31">
        <f>IF(بيانات!B119&lt;&gt;"",بيانات!AE119,"")</f>
        <v/>
      </c>
      <c r="I119" s="34">
        <f>IF(بيانات!B119&lt;&gt;"",بيانات!AJ119,"")</f>
        <v/>
      </c>
    </row>
    <row r="120" ht="22" customHeight="1">
      <c r="A120" s="31">
        <f>IF(بيانات!B120&lt;&gt;"",بيانات!A120,"")</f>
        <v/>
      </c>
      <c r="B120" s="34">
        <f>IF(بيانات!B120&lt;&gt;"",بيانات!B120,"")</f>
        <v/>
      </c>
      <c r="C120" s="34">
        <f>IF(بيانات!B120&lt;&gt;"",بيانات!C120,"")</f>
        <v/>
      </c>
      <c r="D120" s="35">
        <f>IF(بيانات!B120&lt;&gt;"",بيانات!Z120,"")</f>
        <v/>
      </c>
      <c r="E120" s="35" t="n"/>
      <c r="F120" s="35">
        <f>IF(E120="","",E120+30)</f>
        <v/>
      </c>
      <c r="G120" s="33" t="n"/>
      <c r="H120" s="31">
        <f>IF(بيانات!B120&lt;&gt;"",بيانات!AE120,"")</f>
        <v/>
      </c>
      <c r="I120" s="34">
        <f>IF(بيانات!B120&lt;&gt;"",بيانات!AJ120,"")</f>
        <v/>
      </c>
    </row>
    <row r="121" ht="22" customHeight="1">
      <c r="A121" s="31">
        <f>IF(بيانات!B121&lt;&gt;"",بيانات!A121,"")</f>
        <v/>
      </c>
      <c r="B121" s="34">
        <f>IF(بيانات!B121&lt;&gt;"",بيانات!B121,"")</f>
        <v/>
      </c>
      <c r="C121" s="34">
        <f>IF(بيانات!B121&lt;&gt;"",بيانات!C121,"")</f>
        <v/>
      </c>
      <c r="D121" s="35">
        <f>IF(بيانات!B121&lt;&gt;"",بيانات!Z121,"")</f>
        <v/>
      </c>
      <c r="E121" s="35" t="n"/>
      <c r="F121" s="35">
        <f>IF(E121="","",E121+30)</f>
        <v/>
      </c>
      <c r="G121" s="33" t="n"/>
      <c r="H121" s="31">
        <f>IF(بيانات!B121&lt;&gt;"",بيانات!AE121,"")</f>
        <v/>
      </c>
      <c r="I121" s="34">
        <f>IF(بيانات!B121&lt;&gt;"",بيانات!AJ121,"")</f>
        <v/>
      </c>
    </row>
    <row r="122" ht="22" customHeight="1">
      <c r="A122" s="31">
        <f>IF(بيانات!B122&lt;&gt;"",بيانات!A122,"")</f>
        <v/>
      </c>
      <c r="B122" s="34">
        <f>IF(بيانات!B122&lt;&gt;"",بيانات!B122,"")</f>
        <v/>
      </c>
      <c r="C122" s="34">
        <f>IF(بيانات!B122&lt;&gt;"",بيانات!C122,"")</f>
        <v/>
      </c>
      <c r="D122" s="35">
        <f>IF(بيانات!B122&lt;&gt;"",بيانات!Z122,"")</f>
        <v/>
      </c>
      <c r="E122" s="35" t="n"/>
      <c r="F122" s="35">
        <f>IF(E122="","",E122+30)</f>
        <v/>
      </c>
      <c r="G122" s="33" t="n"/>
      <c r="H122" s="31">
        <f>IF(بيانات!B122&lt;&gt;"",بيانات!AE122,"")</f>
        <v/>
      </c>
      <c r="I122" s="34">
        <f>IF(بيانات!B122&lt;&gt;"",بيانات!AJ122,"")</f>
        <v/>
      </c>
    </row>
    <row r="123" ht="22" customHeight="1">
      <c r="A123" s="31">
        <f>IF(بيانات!B123&lt;&gt;"",بيانات!A123,"")</f>
        <v/>
      </c>
      <c r="B123" s="34">
        <f>IF(بيانات!B123&lt;&gt;"",بيانات!B123,"")</f>
        <v/>
      </c>
      <c r="C123" s="34">
        <f>IF(بيانات!B123&lt;&gt;"",بيانات!C123,"")</f>
        <v/>
      </c>
      <c r="D123" s="35">
        <f>IF(بيانات!B123&lt;&gt;"",بيانات!Z123,"")</f>
        <v/>
      </c>
      <c r="E123" s="35" t="n"/>
      <c r="F123" s="35">
        <f>IF(E123="","",E123+30)</f>
        <v/>
      </c>
      <c r="G123" s="33" t="n"/>
      <c r="H123" s="31">
        <f>IF(بيانات!B123&lt;&gt;"",بيانات!AE123,"")</f>
        <v/>
      </c>
      <c r="I123" s="34">
        <f>IF(بيانات!B123&lt;&gt;"",بيانات!AJ123,"")</f>
        <v/>
      </c>
    </row>
    <row r="124" ht="22" customHeight="1">
      <c r="A124" s="31">
        <f>IF(بيانات!B124&lt;&gt;"",بيانات!A124,"")</f>
        <v/>
      </c>
      <c r="B124" s="34">
        <f>IF(بيانات!B124&lt;&gt;"",بيانات!B124,"")</f>
        <v/>
      </c>
      <c r="C124" s="34">
        <f>IF(بيانات!B124&lt;&gt;"",بيانات!C124,"")</f>
        <v/>
      </c>
      <c r="D124" s="35">
        <f>IF(بيانات!B124&lt;&gt;"",بيانات!Z124,"")</f>
        <v/>
      </c>
      <c r="E124" s="35" t="n"/>
      <c r="F124" s="35">
        <f>IF(E124="","",E124+30)</f>
        <v/>
      </c>
      <c r="G124" s="33" t="n"/>
      <c r="H124" s="31">
        <f>IF(بيانات!B124&lt;&gt;"",بيانات!AE124,"")</f>
        <v/>
      </c>
      <c r="I124" s="34">
        <f>IF(بيانات!B124&lt;&gt;"",بيانات!AJ124,"")</f>
        <v/>
      </c>
    </row>
    <row r="125" ht="22" customHeight="1">
      <c r="A125" s="31">
        <f>IF(بيانات!B125&lt;&gt;"",بيانات!A125,"")</f>
        <v/>
      </c>
      <c r="B125" s="34">
        <f>IF(بيانات!B125&lt;&gt;"",بيانات!B125,"")</f>
        <v/>
      </c>
      <c r="C125" s="34">
        <f>IF(بيانات!B125&lt;&gt;"",بيانات!C125,"")</f>
        <v/>
      </c>
      <c r="D125" s="35">
        <f>IF(بيانات!B125&lt;&gt;"",بيانات!Z125,"")</f>
        <v/>
      </c>
      <c r="E125" s="35" t="n"/>
      <c r="F125" s="35">
        <f>IF(E125="","",E125+30)</f>
        <v/>
      </c>
      <c r="G125" s="33" t="n"/>
      <c r="H125" s="31">
        <f>IF(بيانات!B125&lt;&gt;"",بيانات!AE125,"")</f>
        <v/>
      </c>
      <c r="I125" s="34">
        <f>IF(بيانات!B125&lt;&gt;"",بيانات!AJ125,"")</f>
        <v/>
      </c>
    </row>
    <row r="126" ht="22" customHeight="1">
      <c r="A126" s="31">
        <f>IF(بيانات!B126&lt;&gt;"",بيانات!A126,"")</f>
        <v/>
      </c>
      <c r="B126" s="34">
        <f>IF(بيانات!B126&lt;&gt;"",بيانات!B126,"")</f>
        <v/>
      </c>
      <c r="C126" s="34">
        <f>IF(بيانات!B126&lt;&gt;"",بيانات!C126,"")</f>
        <v/>
      </c>
      <c r="D126" s="35">
        <f>IF(بيانات!B126&lt;&gt;"",بيانات!Z126,"")</f>
        <v/>
      </c>
      <c r="E126" s="35" t="n"/>
      <c r="F126" s="35">
        <f>IF(E126="","",E126+30)</f>
        <v/>
      </c>
      <c r="G126" s="33" t="n"/>
      <c r="H126" s="31">
        <f>IF(بيانات!B126&lt;&gt;"",بيانات!AE126,"")</f>
        <v/>
      </c>
      <c r="I126" s="34">
        <f>IF(بيانات!B126&lt;&gt;"",بيانات!AJ126,"")</f>
        <v/>
      </c>
    </row>
    <row r="127" ht="22" customHeight="1">
      <c r="A127" s="31">
        <f>IF(بيانات!B127&lt;&gt;"",بيانات!A127,"")</f>
        <v/>
      </c>
      <c r="B127" s="34">
        <f>IF(بيانات!B127&lt;&gt;"",بيانات!B127,"")</f>
        <v/>
      </c>
      <c r="C127" s="34">
        <f>IF(بيانات!B127&lt;&gt;"",بيانات!C127,"")</f>
        <v/>
      </c>
      <c r="D127" s="35">
        <f>IF(بيانات!B127&lt;&gt;"",بيانات!Z127,"")</f>
        <v/>
      </c>
      <c r="E127" s="35" t="n"/>
      <c r="F127" s="35">
        <f>IF(E127="","",E127+30)</f>
        <v/>
      </c>
      <c r="G127" s="33" t="n"/>
      <c r="H127" s="31">
        <f>IF(بيانات!B127&lt;&gt;"",بيانات!AE127,"")</f>
        <v/>
      </c>
      <c r="I127" s="34">
        <f>IF(بيانات!B127&lt;&gt;"",بيانات!AJ127,"")</f>
        <v/>
      </c>
    </row>
    <row r="128" ht="22" customHeight="1">
      <c r="A128" s="31">
        <f>IF(بيانات!B128&lt;&gt;"",بيانات!A128,"")</f>
        <v/>
      </c>
      <c r="B128" s="34">
        <f>IF(بيانات!B128&lt;&gt;"",بيانات!B128,"")</f>
        <v/>
      </c>
      <c r="C128" s="34">
        <f>IF(بيانات!B128&lt;&gt;"",بيانات!C128,"")</f>
        <v/>
      </c>
      <c r="D128" s="35">
        <f>IF(بيانات!B128&lt;&gt;"",بيانات!Z128,"")</f>
        <v/>
      </c>
      <c r="E128" s="35" t="n"/>
      <c r="F128" s="35">
        <f>IF(E128="","",E128+30)</f>
        <v/>
      </c>
      <c r="G128" s="33" t="n"/>
      <c r="H128" s="31">
        <f>IF(بيانات!B128&lt;&gt;"",بيانات!AE128,"")</f>
        <v/>
      </c>
      <c r="I128" s="34">
        <f>IF(بيانات!B128&lt;&gt;"",بيانات!AJ128,"")</f>
        <v/>
      </c>
    </row>
    <row r="129" ht="22" customHeight="1">
      <c r="A129" s="31">
        <f>IF(بيانات!B129&lt;&gt;"",بيانات!A129,"")</f>
        <v/>
      </c>
      <c r="B129" s="34">
        <f>IF(بيانات!B129&lt;&gt;"",بيانات!B129,"")</f>
        <v/>
      </c>
      <c r="C129" s="34">
        <f>IF(بيانات!B129&lt;&gt;"",بيانات!C129,"")</f>
        <v/>
      </c>
      <c r="D129" s="35">
        <f>IF(بيانات!B129&lt;&gt;"",بيانات!Z129,"")</f>
        <v/>
      </c>
      <c r="E129" s="35" t="n"/>
      <c r="F129" s="35">
        <f>IF(E129="","",E129+30)</f>
        <v/>
      </c>
      <c r="G129" s="33" t="n"/>
      <c r="H129" s="31">
        <f>IF(بيانات!B129&lt;&gt;"",بيانات!AE129,"")</f>
        <v/>
      </c>
      <c r="I129" s="34">
        <f>IF(بيانات!B129&lt;&gt;"",بيانات!AJ129,"")</f>
        <v/>
      </c>
    </row>
    <row r="130" ht="22" customHeight="1">
      <c r="A130" s="31">
        <f>IF(بيانات!B130&lt;&gt;"",بيانات!A130,"")</f>
        <v/>
      </c>
      <c r="B130" s="34">
        <f>IF(بيانات!B130&lt;&gt;"",بيانات!B130,"")</f>
        <v/>
      </c>
      <c r="C130" s="34">
        <f>IF(بيانات!B130&lt;&gt;"",بيانات!C130,"")</f>
        <v/>
      </c>
      <c r="D130" s="35">
        <f>IF(بيانات!B130&lt;&gt;"",بيانات!Z130,"")</f>
        <v/>
      </c>
      <c r="E130" s="35" t="n"/>
      <c r="F130" s="35">
        <f>IF(E130="","",E130+30)</f>
        <v/>
      </c>
      <c r="G130" s="33" t="n"/>
      <c r="H130" s="31">
        <f>IF(بيانات!B130&lt;&gt;"",بيانات!AE130,"")</f>
        <v/>
      </c>
      <c r="I130" s="34">
        <f>IF(بيانات!B130&lt;&gt;"",بيانات!AJ130,"")</f>
        <v/>
      </c>
    </row>
    <row r="131" ht="22" customHeight="1">
      <c r="A131" s="31">
        <f>IF(بيانات!B131&lt;&gt;"",بيانات!A131,"")</f>
        <v/>
      </c>
      <c r="B131" s="34">
        <f>IF(بيانات!B131&lt;&gt;"",بيانات!B131,"")</f>
        <v/>
      </c>
      <c r="C131" s="34">
        <f>IF(بيانات!B131&lt;&gt;"",بيانات!C131,"")</f>
        <v/>
      </c>
      <c r="D131" s="35">
        <f>IF(بيانات!B131&lt;&gt;"",بيانات!Z131,"")</f>
        <v/>
      </c>
      <c r="E131" s="35" t="n"/>
      <c r="F131" s="35">
        <f>IF(E131="","",E131+30)</f>
        <v/>
      </c>
      <c r="G131" s="33" t="n"/>
      <c r="H131" s="31">
        <f>IF(بيانات!B131&lt;&gt;"",بيانات!AE131,"")</f>
        <v/>
      </c>
      <c r="I131" s="34">
        <f>IF(بيانات!B131&lt;&gt;"",بيانات!AJ131,"")</f>
        <v/>
      </c>
    </row>
    <row r="132" ht="22" customHeight="1">
      <c r="A132" s="31">
        <f>IF(بيانات!B132&lt;&gt;"",بيانات!A132,"")</f>
        <v/>
      </c>
      <c r="B132" s="34">
        <f>IF(بيانات!B132&lt;&gt;"",بيانات!B132,"")</f>
        <v/>
      </c>
      <c r="C132" s="34">
        <f>IF(بيانات!B132&lt;&gt;"",بيانات!C132,"")</f>
        <v/>
      </c>
      <c r="D132" s="35">
        <f>IF(بيانات!B132&lt;&gt;"",بيانات!Z132,"")</f>
        <v/>
      </c>
      <c r="E132" s="35" t="n"/>
      <c r="F132" s="35">
        <f>IF(E132="","",E132+30)</f>
        <v/>
      </c>
      <c r="G132" s="33" t="n"/>
      <c r="H132" s="31">
        <f>IF(بيانات!B132&lt;&gt;"",بيانات!AE132,"")</f>
        <v/>
      </c>
      <c r="I132" s="34">
        <f>IF(بيانات!B132&lt;&gt;"",بيانات!AJ132,"")</f>
        <v/>
      </c>
    </row>
    <row r="133" ht="22" customHeight="1">
      <c r="A133" s="31">
        <f>IF(بيانات!B133&lt;&gt;"",بيانات!A133,"")</f>
        <v/>
      </c>
      <c r="B133" s="34">
        <f>IF(بيانات!B133&lt;&gt;"",بيانات!B133,"")</f>
        <v/>
      </c>
      <c r="C133" s="34">
        <f>IF(بيانات!B133&lt;&gt;"",بيانات!C133,"")</f>
        <v/>
      </c>
      <c r="D133" s="35">
        <f>IF(بيانات!B133&lt;&gt;"",بيانات!Z133,"")</f>
        <v/>
      </c>
      <c r="E133" s="35" t="n"/>
      <c r="F133" s="35">
        <f>IF(E133="","",E133+30)</f>
        <v/>
      </c>
      <c r="G133" s="33" t="n"/>
      <c r="H133" s="31">
        <f>IF(بيانات!B133&lt;&gt;"",بيانات!AE133,"")</f>
        <v/>
      </c>
      <c r="I133" s="34">
        <f>IF(بيانات!B133&lt;&gt;"",بيانات!AJ133,"")</f>
        <v/>
      </c>
    </row>
    <row r="134" ht="22" customHeight="1">
      <c r="A134" s="31">
        <f>IF(بيانات!B134&lt;&gt;"",بيانات!A134,"")</f>
        <v/>
      </c>
      <c r="B134" s="34">
        <f>IF(بيانات!B134&lt;&gt;"",بيانات!B134,"")</f>
        <v/>
      </c>
      <c r="C134" s="34">
        <f>IF(بيانات!B134&lt;&gt;"",بيانات!C134,"")</f>
        <v/>
      </c>
      <c r="D134" s="35">
        <f>IF(بيانات!B134&lt;&gt;"",بيانات!Z134,"")</f>
        <v/>
      </c>
      <c r="E134" s="35" t="n"/>
      <c r="F134" s="35">
        <f>IF(E134="","",E134+30)</f>
        <v/>
      </c>
      <c r="G134" s="33" t="n"/>
      <c r="H134" s="31">
        <f>IF(بيانات!B134&lt;&gt;"",بيانات!AE134,"")</f>
        <v/>
      </c>
      <c r="I134" s="34">
        <f>IF(بيانات!B134&lt;&gt;"",بيانات!AJ134,"")</f>
        <v/>
      </c>
    </row>
    <row r="135" ht="22" customHeight="1">
      <c r="A135" s="31">
        <f>IF(بيانات!B135&lt;&gt;"",بيانات!A135,"")</f>
        <v/>
      </c>
      <c r="B135" s="34">
        <f>IF(بيانات!B135&lt;&gt;"",بيانات!B135,"")</f>
        <v/>
      </c>
      <c r="C135" s="34">
        <f>IF(بيانات!B135&lt;&gt;"",بيانات!C135,"")</f>
        <v/>
      </c>
      <c r="D135" s="35">
        <f>IF(بيانات!B135&lt;&gt;"",بيانات!Z135,"")</f>
        <v/>
      </c>
      <c r="E135" s="35" t="n"/>
      <c r="F135" s="35">
        <f>IF(E135="","",E135+30)</f>
        <v/>
      </c>
      <c r="G135" s="33" t="n"/>
      <c r="H135" s="31">
        <f>IF(بيانات!B135&lt;&gt;"",بيانات!AE135,"")</f>
        <v/>
      </c>
      <c r="I135" s="34">
        <f>IF(بيانات!B135&lt;&gt;"",بيانات!AJ135,"")</f>
        <v/>
      </c>
    </row>
    <row r="136" ht="22" customHeight="1">
      <c r="A136" s="31">
        <f>IF(بيانات!B136&lt;&gt;"",بيانات!A136,"")</f>
        <v/>
      </c>
      <c r="B136" s="34">
        <f>IF(بيانات!B136&lt;&gt;"",بيانات!B136,"")</f>
        <v/>
      </c>
      <c r="C136" s="34">
        <f>IF(بيانات!B136&lt;&gt;"",بيانات!C136,"")</f>
        <v/>
      </c>
      <c r="D136" s="35">
        <f>IF(بيانات!B136&lt;&gt;"",بيانات!Z136,"")</f>
        <v/>
      </c>
      <c r="E136" s="35" t="n"/>
      <c r="F136" s="35">
        <f>IF(E136="","",E136+30)</f>
        <v/>
      </c>
      <c r="G136" s="33" t="n"/>
      <c r="H136" s="31">
        <f>IF(بيانات!B136&lt;&gt;"",بيانات!AE136,"")</f>
        <v/>
      </c>
      <c r="I136" s="34">
        <f>IF(بيانات!B136&lt;&gt;"",بيانات!AJ136,"")</f>
        <v/>
      </c>
    </row>
    <row r="137" ht="22" customHeight="1">
      <c r="A137" s="31">
        <f>IF(بيانات!B137&lt;&gt;"",بيانات!A137,"")</f>
        <v/>
      </c>
      <c r="B137" s="34">
        <f>IF(بيانات!B137&lt;&gt;"",بيانات!B137,"")</f>
        <v/>
      </c>
      <c r="C137" s="34">
        <f>IF(بيانات!B137&lt;&gt;"",بيانات!C137,"")</f>
        <v/>
      </c>
      <c r="D137" s="35">
        <f>IF(بيانات!B137&lt;&gt;"",بيانات!Z137,"")</f>
        <v/>
      </c>
      <c r="E137" s="35" t="n"/>
      <c r="F137" s="35">
        <f>IF(E137="","",E137+30)</f>
        <v/>
      </c>
      <c r="G137" s="33" t="n"/>
      <c r="H137" s="31">
        <f>IF(بيانات!B137&lt;&gt;"",بيانات!AE137,"")</f>
        <v/>
      </c>
      <c r="I137" s="34">
        <f>IF(بيانات!B137&lt;&gt;"",بيانات!AJ137,"")</f>
        <v/>
      </c>
    </row>
    <row r="138" ht="22" customHeight="1">
      <c r="A138" s="31">
        <f>IF(بيانات!B138&lt;&gt;"",بيانات!A138,"")</f>
        <v/>
      </c>
      <c r="B138" s="34">
        <f>IF(بيانات!B138&lt;&gt;"",بيانات!B138,"")</f>
        <v/>
      </c>
      <c r="C138" s="34">
        <f>IF(بيانات!B138&lt;&gt;"",بيانات!C138,"")</f>
        <v/>
      </c>
      <c r="D138" s="35">
        <f>IF(بيانات!B138&lt;&gt;"",بيانات!Z138,"")</f>
        <v/>
      </c>
      <c r="E138" s="35" t="n"/>
      <c r="F138" s="35">
        <f>IF(E138="","",E138+30)</f>
        <v/>
      </c>
      <c r="G138" s="33" t="n"/>
      <c r="H138" s="31">
        <f>IF(بيانات!B138&lt;&gt;"",بيانات!AE138,"")</f>
        <v/>
      </c>
      <c r="I138" s="34">
        <f>IF(بيانات!B138&lt;&gt;"",بيانات!AJ138,"")</f>
        <v/>
      </c>
    </row>
    <row r="139" ht="22" customHeight="1">
      <c r="A139" s="31">
        <f>IF(بيانات!B139&lt;&gt;"",بيانات!A139,"")</f>
        <v/>
      </c>
      <c r="B139" s="34">
        <f>IF(بيانات!B139&lt;&gt;"",بيانات!B139,"")</f>
        <v/>
      </c>
      <c r="C139" s="34">
        <f>IF(بيانات!B139&lt;&gt;"",بيانات!C139,"")</f>
        <v/>
      </c>
      <c r="D139" s="35">
        <f>IF(بيانات!B139&lt;&gt;"",بيانات!Z139,"")</f>
        <v/>
      </c>
      <c r="E139" s="35" t="n"/>
      <c r="F139" s="35">
        <f>IF(E139="","",E139+30)</f>
        <v/>
      </c>
      <c r="G139" s="33" t="n"/>
      <c r="H139" s="31">
        <f>IF(بيانات!B139&lt;&gt;"",بيانات!AE139,"")</f>
        <v/>
      </c>
      <c r="I139" s="34">
        <f>IF(بيانات!B139&lt;&gt;"",بيانات!AJ139,"")</f>
        <v/>
      </c>
    </row>
    <row r="140" ht="22" customHeight="1">
      <c r="A140" s="31">
        <f>IF(بيانات!B140&lt;&gt;"",بيانات!A140,"")</f>
        <v/>
      </c>
      <c r="B140" s="34">
        <f>IF(بيانات!B140&lt;&gt;"",بيانات!B140,"")</f>
        <v/>
      </c>
      <c r="C140" s="34">
        <f>IF(بيانات!B140&lt;&gt;"",بيانات!C140,"")</f>
        <v/>
      </c>
      <c r="D140" s="35">
        <f>IF(بيانات!B140&lt;&gt;"",بيانات!Z140,"")</f>
        <v/>
      </c>
      <c r="E140" s="35" t="n"/>
      <c r="F140" s="35">
        <f>IF(E140="","",E140+30)</f>
        <v/>
      </c>
      <c r="G140" s="33" t="n"/>
      <c r="H140" s="31">
        <f>IF(بيانات!B140&lt;&gt;"",بيانات!AE140,"")</f>
        <v/>
      </c>
      <c r="I140" s="34">
        <f>IF(بيانات!B140&lt;&gt;"",بيانات!AJ140,"")</f>
        <v/>
      </c>
    </row>
    <row r="141" ht="22" customHeight="1">
      <c r="A141" s="31">
        <f>IF(بيانات!B141&lt;&gt;"",بيانات!A141,"")</f>
        <v/>
      </c>
      <c r="B141" s="34">
        <f>IF(بيانات!B141&lt;&gt;"",بيانات!B141,"")</f>
        <v/>
      </c>
      <c r="C141" s="34">
        <f>IF(بيانات!B141&lt;&gt;"",بيانات!C141,"")</f>
        <v/>
      </c>
      <c r="D141" s="35">
        <f>IF(بيانات!B141&lt;&gt;"",بيانات!Z141,"")</f>
        <v/>
      </c>
      <c r="E141" s="35" t="n"/>
      <c r="F141" s="35">
        <f>IF(E141="","",E141+30)</f>
        <v/>
      </c>
      <c r="G141" s="33" t="n"/>
      <c r="H141" s="31">
        <f>IF(بيانات!B141&lt;&gt;"",بيانات!AE141,"")</f>
        <v/>
      </c>
      <c r="I141" s="34">
        <f>IF(بيانات!B141&lt;&gt;"",بيانات!AJ141,"")</f>
        <v/>
      </c>
    </row>
    <row r="142" ht="22" customHeight="1">
      <c r="A142" s="31">
        <f>IF(بيانات!B142&lt;&gt;"",بيانات!A142,"")</f>
        <v/>
      </c>
      <c r="B142" s="34">
        <f>IF(بيانات!B142&lt;&gt;"",بيانات!B142,"")</f>
        <v/>
      </c>
      <c r="C142" s="34">
        <f>IF(بيانات!B142&lt;&gt;"",بيانات!C142,"")</f>
        <v/>
      </c>
      <c r="D142" s="35">
        <f>IF(بيانات!B142&lt;&gt;"",بيانات!Z142,"")</f>
        <v/>
      </c>
      <c r="E142" s="35" t="n"/>
      <c r="F142" s="35">
        <f>IF(E142="","",E142+30)</f>
        <v/>
      </c>
      <c r="G142" s="33" t="n"/>
      <c r="H142" s="31">
        <f>IF(بيانات!B142&lt;&gt;"",بيانات!AE142,"")</f>
        <v/>
      </c>
      <c r="I142" s="34">
        <f>IF(بيانات!B142&lt;&gt;"",بيانات!AJ142,"")</f>
        <v/>
      </c>
    </row>
    <row r="143" ht="22" customHeight="1">
      <c r="A143" s="31">
        <f>IF(بيانات!B143&lt;&gt;"",بيانات!A143,"")</f>
        <v/>
      </c>
      <c r="B143" s="34">
        <f>IF(بيانات!B143&lt;&gt;"",بيانات!B143,"")</f>
        <v/>
      </c>
      <c r="C143" s="34">
        <f>IF(بيانات!B143&lt;&gt;"",بيانات!C143,"")</f>
        <v/>
      </c>
      <c r="D143" s="35">
        <f>IF(بيانات!B143&lt;&gt;"",بيانات!Z143,"")</f>
        <v/>
      </c>
      <c r="E143" s="35" t="n"/>
      <c r="F143" s="35">
        <f>IF(E143="","",E143+30)</f>
        <v/>
      </c>
      <c r="G143" s="33" t="n"/>
      <c r="H143" s="31">
        <f>IF(بيانات!B143&lt;&gt;"",بيانات!AE143,"")</f>
        <v/>
      </c>
      <c r="I143" s="34">
        <f>IF(بيانات!B143&lt;&gt;"",بيانات!AJ143,"")</f>
        <v/>
      </c>
    </row>
    <row r="144" ht="22" customHeight="1">
      <c r="A144" s="31">
        <f>IF(بيانات!B144&lt;&gt;"",بيانات!A144,"")</f>
        <v/>
      </c>
      <c r="B144" s="34">
        <f>IF(بيانات!B144&lt;&gt;"",بيانات!B144,"")</f>
        <v/>
      </c>
      <c r="C144" s="34">
        <f>IF(بيانات!B144&lt;&gt;"",بيانات!C144,"")</f>
        <v/>
      </c>
      <c r="D144" s="35">
        <f>IF(بيانات!B144&lt;&gt;"",بيانات!Z144,"")</f>
        <v/>
      </c>
      <c r="E144" s="35" t="n"/>
      <c r="F144" s="35">
        <f>IF(E144="","",E144+30)</f>
        <v/>
      </c>
      <c r="G144" s="33" t="n"/>
      <c r="H144" s="31">
        <f>IF(بيانات!B144&lt;&gt;"",بيانات!AE144,"")</f>
        <v/>
      </c>
      <c r="I144" s="34">
        <f>IF(بيانات!B144&lt;&gt;"",بيانات!AJ144,"")</f>
        <v/>
      </c>
    </row>
    <row r="145" ht="22" customHeight="1">
      <c r="A145" s="31">
        <f>IF(بيانات!B145&lt;&gt;"",بيانات!A145,"")</f>
        <v/>
      </c>
      <c r="B145" s="34">
        <f>IF(بيانات!B145&lt;&gt;"",بيانات!B145,"")</f>
        <v/>
      </c>
      <c r="C145" s="34">
        <f>IF(بيانات!B145&lt;&gt;"",بيانات!C145,"")</f>
        <v/>
      </c>
      <c r="D145" s="35">
        <f>IF(بيانات!B145&lt;&gt;"",بيانات!Z145,"")</f>
        <v/>
      </c>
      <c r="E145" s="35" t="n"/>
      <c r="F145" s="35">
        <f>IF(E145="","",E145+30)</f>
        <v/>
      </c>
      <c r="G145" s="33" t="n"/>
      <c r="H145" s="31">
        <f>IF(بيانات!B145&lt;&gt;"",بيانات!AE145,"")</f>
        <v/>
      </c>
      <c r="I145" s="34">
        <f>IF(بيانات!B145&lt;&gt;"",بيانات!AJ145,"")</f>
        <v/>
      </c>
    </row>
    <row r="146" ht="22" customHeight="1">
      <c r="A146" s="31">
        <f>IF(بيانات!B146&lt;&gt;"",بيانات!A146,"")</f>
        <v/>
      </c>
      <c r="B146" s="34">
        <f>IF(بيانات!B146&lt;&gt;"",بيانات!B146,"")</f>
        <v/>
      </c>
      <c r="C146" s="34">
        <f>IF(بيانات!B146&lt;&gt;"",بيانات!C146,"")</f>
        <v/>
      </c>
      <c r="D146" s="35">
        <f>IF(بيانات!B146&lt;&gt;"",بيانات!Z146,"")</f>
        <v/>
      </c>
      <c r="E146" s="35" t="n"/>
      <c r="F146" s="35">
        <f>IF(E146="","",E146+30)</f>
        <v/>
      </c>
      <c r="G146" s="33" t="n"/>
      <c r="H146" s="31">
        <f>IF(بيانات!B146&lt;&gt;"",بيانات!AE146,"")</f>
        <v/>
      </c>
      <c r="I146" s="34">
        <f>IF(بيانات!B146&lt;&gt;"",بيانات!AJ146,"")</f>
        <v/>
      </c>
    </row>
    <row r="147" ht="22" customHeight="1">
      <c r="A147" s="31">
        <f>IF(بيانات!B147&lt;&gt;"",بيانات!A147,"")</f>
        <v/>
      </c>
      <c r="B147" s="34">
        <f>IF(بيانات!B147&lt;&gt;"",بيانات!B147,"")</f>
        <v/>
      </c>
      <c r="C147" s="34">
        <f>IF(بيانات!B147&lt;&gt;"",بيانات!C147,"")</f>
        <v/>
      </c>
      <c r="D147" s="35">
        <f>IF(بيانات!B147&lt;&gt;"",بيانات!Z147,"")</f>
        <v/>
      </c>
      <c r="E147" s="35" t="n"/>
      <c r="F147" s="35">
        <f>IF(E147="","",E147+30)</f>
        <v/>
      </c>
      <c r="G147" s="33" t="n"/>
      <c r="H147" s="31">
        <f>IF(بيانات!B147&lt;&gt;"",بيانات!AE147,"")</f>
        <v/>
      </c>
      <c r="I147" s="34">
        <f>IF(بيانات!B147&lt;&gt;"",بيانات!AJ147,"")</f>
        <v/>
      </c>
    </row>
    <row r="148" ht="22" customHeight="1">
      <c r="A148" s="31">
        <f>IF(بيانات!B148&lt;&gt;"",بيانات!A148,"")</f>
        <v/>
      </c>
      <c r="B148" s="34">
        <f>IF(بيانات!B148&lt;&gt;"",بيانات!B148,"")</f>
        <v/>
      </c>
      <c r="C148" s="34">
        <f>IF(بيانات!B148&lt;&gt;"",بيانات!C148,"")</f>
        <v/>
      </c>
      <c r="D148" s="35">
        <f>IF(بيانات!B148&lt;&gt;"",بيانات!Z148,"")</f>
        <v/>
      </c>
      <c r="E148" s="35" t="n"/>
      <c r="F148" s="35">
        <f>IF(E148="","",E148+30)</f>
        <v/>
      </c>
      <c r="G148" s="33" t="n"/>
      <c r="H148" s="31">
        <f>IF(بيانات!B148&lt;&gt;"",بيانات!AE148,"")</f>
        <v/>
      </c>
      <c r="I148" s="34">
        <f>IF(بيانات!B148&lt;&gt;"",بيانات!AJ148,"")</f>
        <v/>
      </c>
    </row>
    <row r="149" ht="22" customHeight="1">
      <c r="A149" s="31">
        <f>IF(بيانات!B149&lt;&gt;"",بيانات!A149,"")</f>
        <v/>
      </c>
      <c r="B149" s="34">
        <f>IF(بيانات!B149&lt;&gt;"",بيانات!B149,"")</f>
        <v/>
      </c>
      <c r="C149" s="34">
        <f>IF(بيانات!B149&lt;&gt;"",بيانات!C149,"")</f>
        <v/>
      </c>
      <c r="D149" s="35">
        <f>IF(بيانات!B149&lt;&gt;"",بيانات!Z149,"")</f>
        <v/>
      </c>
      <c r="E149" s="35" t="n"/>
      <c r="F149" s="35">
        <f>IF(E149="","",E149+30)</f>
        <v/>
      </c>
      <c r="G149" s="33" t="n"/>
      <c r="H149" s="31">
        <f>IF(بيانات!B149&lt;&gt;"",بيانات!AE149,"")</f>
        <v/>
      </c>
      <c r="I149" s="34">
        <f>IF(بيانات!B149&lt;&gt;"",بيانات!AJ149,"")</f>
        <v/>
      </c>
    </row>
    <row r="150" ht="22" customHeight="1">
      <c r="A150" s="31">
        <f>IF(بيانات!B150&lt;&gt;"",بيانات!A150,"")</f>
        <v/>
      </c>
      <c r="B150" s="34">
        <f>IF(بيانات!B150&lt;&gt;"",بيانات!B150,"")</f>
        <v/>
      </c>
      <c r="C150" s="34">
        <f>IF(بيانات!B150&lt;&gt;"",بيانات!C150,"")</f>
        <v/>
      </c>
      <c r="D150" s="35">
        <f>IF(بيانات!B150&lt;&gt;"",بيانات!Z150,"")</f>
        <v/>
      </c>
      <c r="E150" s="35" t="n"/>
      <c r="F150" s="35">
        <f>IF(E150="","",E150+30)</f>
        <v/>
      </c>
      <c r="G150" s="33" t="n"/>
      <c r="H150" s="31">
        <f>IF(بيانات!B150&lt;&gt;"",بيانات!AE150,"")</f>
        <v/>
      </c>
      <c r="I150" s="34">
        <f>IF(بيانات!B150&lt;&gt;"",بيانات!AJ150,"")</f>
        <v/>
      </c>
    </row>
    <row r="151" ht="22" customHeight="1">
      <c r="A151" s="31">
        <f>IF(بيانات!B151&lt;&gt;"",بيانات!A151,"")</f>
        <v/>
      </c>
      <c r="B151" s="34">
        <f>IF(بيانات!B151&lt;&gt;"",بيانات!B151,"")</f>
        <v/>
      </c>
      <c r="C151" s="34">
        <f>IF(بيانات!B151&lt;&gt;"",بيانات!C151,"")</f>
        <v/>
      </c>
      <c r="D151" s="35">
        <f>IF(بيانات!B151&lt;&gt;"",بيانات!Z151,"")</f>
        <v/>
      </c>
      <c r="E151" s="35" t="n"/>
      <c r="F151" s="35">
        <f>IF(E151="","",E151+30)</f>
        <v/>
      </c>
      <c r="G151" s="33" t="n"/>
      <c r="H151" s="31">
        <f>IF(بيانات!B151&lt;&gt;"",بيانات!AE151,"")</f>
        <v/>
      </c>
      <c r="I151" s="34">
        <f>IF(بيانات!B151&lt;&gt;"",بيانات!AJ151,"")</f>
        <v/>
      </c>
    </row>
    <row r="152" ht="22" customHeight="1">
      <c r="A152" s="31">
        <f>IF(بيانات!B152&lt;&gt;"",بيانات!A152,"")</f>
        <v/>
      </c>
      <c r="B152" s="34">
        <f>IF(بيانات!B152&lt;&gt;"",بيانات!B152,"")</f>
        <v/>
      </c>
      <c r="C152" s="34">
        <f>IF(بيانات!B152&lt;&gt;"",بيانات!C152,"")</f>
        <v/>
      </c>
      <c r="D152" s="35">
        <f>IF(بيانات!B152&lt;&gt;"",بيانات!Z152,"")</f>
        <v/>
      </c>
      <c r="E152" s="35" t="n"/>
      <c r="F152" s="35">
        <f>IF(E152="","",E152+30)</f>
        <v/>
      </c>
      <c r="G152" s="33" t="n"/>
      <c r="H152" s="31">
        <f>IF(بيانات!B152&lt;&gt;"",بيانات!AE152,"")</f>
        <v/>
      </c>
      <c r="I152" s="34">
        <f>IF(بيانات!B152&lt;&gt;"",بيانات!AJ152,"")</f>
        <v/>
      </c>
    </row>
    <row r="153" ht="22" customHeight="1">
      <c r="A153" s="31">
        <f>IF(بيانات!B153&lt;&gt;"",بيانات!A153,"")</f>
        <v/>
      </c>
      <c r="B153" s="34">
        <f>IF(بيانات!B153&lt;&gt;"",بيانات!B153,"")</f>
        <v/>
      </c>
      <c r="C153" s="34">
        <f>IF(بيانات!B153&lt;&gt;"",بيانات!C153,"")</f>
        <v/>
      </c>
      <c r="D153" s="35">
        <f>IF(بيانات!B153&lt;&gt;"",بيانات!Z153,"")</f>
        <v/>
      </c>
      <c r="E153" s="35" t="n"/>
      <c r="F153" s="35">
        <f>IF(E153="","",E153+30)</f>
        <v/>
      </c>
      <c r="G153" s="33" t="n"/>
      <c r="H153" s="31">
        <f>IF(بيانات!B153&lt;&gt;"",بيانات!AE153,"")</f>
        <v/>
      </c>
      <c r="I153" s="34">
        <f>IF(بيانات!B153&lt;&gt;"",بيانات!AJ153,"")</f>
        <v/>
      </c>
    </row>
    <row r="154" ht="22" customHeight="1">
      <c r="A154" s="31">
        <f>IF(بيانات!B154&lt;&gt;"",بيانات!A154,"")</f>
        <v/>
      </c>
      <c r="B154" s="34">
        <f>IF(بيانات!B154&lt;&gt;"",بيانات!B154,"")</f>
        <v/>
      </c>
      <c r="C154" s="34">
        <f>IF(بيانات!B154&lt;&gt;"",بيانات!C154,"")</f>
        <v/>
      </c>
      <c r="D154" s="35">
        <f>IF(بيانات!B154&lt;&gt;"",بيانات!Z154,"")</f>
        <v/>
      </c>
      <c r="E154" s="35" t="n"/>
      <c r="F154" s="35">
        <f>IF(E154="","",E154+30)</f>
        <v/>
      </c>
      <c r="G154" s="33" t="n"/>
      <c r="H154" s="31">
        <f>IF(بيانات!B154&lt;&gt;"",بيانات!AE154,"")</f>
        <v/>
      </c>
      <c r="I154" s="34">
        <f>IF(بيانات!B154&lt;&gt;"",بيانات!AJ154,"")</f>
        <v/>
      </c>
    </row>
    <row r="155" ht="22" customHeight="1">
      <c r="A155" s="31">
        <f>IF(بيانات!B155&lt;&gt;"",بيانات!A155,"")</f>
        <v/>
      </c>
      <c r="B155" s="34">
        <f>IF(بيانات!B155&lt;&gt;"",بيانات!B155,"")</f>
        <v/>
      </c>
      <c r="C155" s="34">
        <f>IF(بيانات!B155&lt;&gt;"",بيانات!C155,"")</f>
        <v/>
      </c>
      <c r="D155" s="35">
        <f>IF(بيانات!B155&lt;&gt;"",بيانات!Z155,"")</f>
        <v/>
      </c>
      <c r="E155" s="35" t="n"/>
      <c r="F155" s="35">
        <f>IF(E155="","",E155+30)</f>
        <v/>
      </c>
      <c r="G155" s="33" t="n"/>
      <c r="H155" s="31">
        <f>IF(بيانات!B155&lt;&gt;"",بيانات!AE155,"")</f>
        <v/>
      </c>
      <c r="I155" s="34">
        <f>IF(بيانات!B155&lt;&gt;"",بيانات!AJ155,"")</f>
        <v/>
      </c>
    </row>
    <row r="156" ht="22" customHeight="1">
      <c r="A156" s="31">
        <f>IF(بيانات!B156&lt;&gt;"",بيانات!A156,"")</f>
        <v/>
      </c>
      <c r="B156" s="34">
        <f>IF(بيانات!B156&lt;&gt;"",بيانات!B156,"")</f>
        <v/>
      </c>
      <c r="C156" s="34">
        <f>IF(بيانات!B156&lt;&gt;"",بيانات!C156,"")</f>
        <v/>
      </c>
      <c r="D156" s="35">
        <f>IF(بيانات!B156&lt;&gt;"",بيانات!Z156,"")</f>
        <v/>
      </c>
      <c r="E156" s="35" t="n"/>
      <c r="F156" s="35">
        <f>IF(E156="","",E156+30)</f>
        <v/>
      </c>
      <c r="G156" s="33" t="n"/>
      <c r="H156" s="31">
        <f>IF(بيانات!B156&lt;&gt;"",بيانات!AE156,"")</f>
        <v/>
      </c>
      <c r="I156" s="34">
        <f>IF(بيانات!B156&lt;&gt;"",بيانات!AJ156,"")</f>
        <v/>
      </c>
    </row>
    <row r="157" ht="22" customHeight="1">
      <c r="A157" s="31">
        <f>IF(بيانات!B157&lt;&gt;"",بيانات!A157,"")</f>
        <v/>
      </c>
      <c r="B157" s="34">
        <f>IF(بيانات!B157&lt;&gt;"",بيانات!B157,"")</f>
        <v/>
      </c>
      <c r="C157" s="34">
        <f>IF(بيانات!B157&lt;&gt;"",بيانات!C157,"")</f>
        <v/>
      </c>
      <c r="D157" s="35">
        <f>IF(بيانات!B157&lt;&gt;"",بيانات!Z157,"")</f>
        <v/>
      </c>
      <c r="E157" s="35" t="n"/>
      <c r="F157" s="35">
        <f>IF(E157="","",E157+30)</f>
        <v/>
      </c>
      <c r="G157" s="33" t="n"/>
      <c r="H157" s="31">
        <f>IF(بيانات!B157&lt;&gt;"",بيانات!AE157,"")</f>
        <v/>
      </c>
      <c r="I157" s="34">
        <f>IF(بيانات!B157&lt;&gt;"",بيانات!AJ157,"")</f>
        <v/>
      </c>
    </row>
    <row r="158" ht="22" customHeight="1">
      <c r="A158" s="31">
        <f>IF(بيانات!B158&lt;&gt;"",بيانات!A158,"")</f>
        <v/>
      </c>
      <c r="B158" s="34">
        <f>IF(بيانات!B158&lt;&gt;"",بيانات!B158,"")</f>
        <v/>
      </c>
      <c r="C158" s="34">
        <f>IF(بيانات!B158&lt;&gt;"",بيانات!C158,"")</f>
        <v/>
      </c>
      <c r="D158" s="35">
        <f>IF(بيانات!B158&lt;&gt;"",بيانات!Z158,"")</f>
        <v/>
      </c>
      <c r="E158" s="35" t="n"/>
      <c r="F158" s="35">
        <f>IF(E158="","",E158+30)</f>
        <v/>
      </c>
      <c r="G158" s="33" t="n"/>
      <c r="H158" s="31">
        <f>IF(بيانات!B158&lt;&gt;"",بيانات!AE158,"")</f>
        <v/>
      </c>
      <c r="I158" s="34">
        <f>IF(بيانات!B158&lt;&gt;"",بيانات!AJ158,"")</f>
        <v/>
      </c>
    </row>
    <row r="159" ht="22" customHeight="1">
      <c r="A159" s="31">
        <f>IF(بيانات!B159&lt;&gt;"",بيانات!A159,"")</f>
        <v/>
      </c>
      <c r="B159" s="34">
        <f>IF(بيانات!B159&lt;&gt;"",بيانات!B159,"")</f>
        <v/>
      </c>
      <c r="C159" s="34">
        <f>IF(بيانات!B159&lt;&gt;"",بيانات!C159,"")</f>
        <v/>
      </c>
      <c r="D159" s="35">
        <f>IF(بيانات!B159&lt;&gt;"",بيانات!Z159,"")</f>
        <v/>
      </c>
      <c r="E159" s="35" t="n"/>
      <c r="F159" s="35">
        <f>IF(E159="","",E159+30)</f>
        <v/>
      </c>
      <c r="G159" s="33" t="n"/>
      <c r="H159" s="31">
        <f>IF(بيانات!B159&lt;&gt;"",بيانات!AE159,"")</f>
        <v/>
      </c>
      <c r="I159" s="34">
        <f>IF(بيانات!B159&lt;&gt;"",بيانات!AJ159,"")</f>
        <v/>
      </c>
    </row>
    <row r="160" ht="22" customHeight="1">
      <c r="A160" s="31">
        <f>IF(بيانات!B160&lt;&gt;"",بيانات!A160,"")</f>
        <v/>
      </c>
      <c r="B160" s="34">
        <f>IF(بيانات!B160&lt;&gt;"",بيانات!B160,"")</f>
        <v/>
      </c>
      <c r="C160" s="34">
        <f>IF(بيانات!B160&lt;&gt;"",بيانات!C160,"")</f>
        <v/>
      </c>
      <c r="D160" s="35">
        <f>IF(بيانات!B160&lt;&gt;"",بيانات!Z160,"")</f>
        <v/>
      </c>
      <c r="E160" s="35" t="n"/>
      <c r="F160" s="35">
        <f>IF(E160="","",E160+30)</f>
        <v/>
      </c>
      <c r="G160" s="33" t="n"/>
      <c r="H160" s="31">
        <f>IF(بيانات!B160&lt;&gt;"",بيانات!AE160,"")</f>
        <v/>
      </c>
      <c r="I160" s="34">
        <f>IF(بيانات!B160&lt;&gt;"",بيانات!AJ160,"")</f>
        <v/>
      </c>
    </row>
    <row r="161" ht="22" customHeight="1">
      <c r="A161" s="31">
        <f>IF(بيانات!B161&lt;&gt;"",بيانات!A161,"")</f>
        <v/>
      </c>
      <c r="B161" s="34">
        <f>IF(بيانات!B161&lt;&gt;"",بيانات!B161,"")</f>
        <v/>
      </c>
      <c r="C161" s="34">
        <f>IF(بيانات!B161&lt;&gt;"",بيانات!C161,"")</f>
        <v/>
      </c>
      <c r="D161" s="35">
        <f>IF(بيانات!B161&lt;&gt;"",بيانات!Z161,"")</f>
        <v/>
      </c>
      <c r="E161" s="35" t="n"/>
      <c r="F161" s="35">
        <f>IF(E161="","",E161+30)</f>
        <v/>
      </c>
      <c r="G161" s="33" t="n"/>
      <c r="H161" s="31">
        <f>IF(بيانات!B161&lt;&gt;"",بيانات!AE161,"")</f>
        <v/>
      </c>
      <c r="I161" s="34">
        <f>IF(بيانات!B161&lt;&gt;"",بيانات!AJ161,"")</f>
        <v/>
      </c>
    </row>
    <row r="162" ht="22" customHeight="1">
      <c r="A162" s="31">
        <f>IF(بيانات!B162&lt;&gt;"",بيانات!A162,"")</f>
        <v/>
      </c>
      <c r="B162" s="34">
        <f>IF(بيانات!B162&lt;&gt;"",بيانات!B162,"")</f>
        <v/>
      </c>
      <c r="C162" s="34">
        <f>IF(بيانات!B162&lt;&gt;"",بيانات!C162,"")</f>
        <v/>
      </c>
      <c r="D162" s="35">
        <f>IF(بيانات!B162&lt;&gt;"",بيانات!Z162,"")</f>
        <v/>
      </c>
      <c r="E162" s="35" t="n"/>
      <c r="F162" s="35">
        <f>IF(E162="","",E162+30)</f>
        <v/>
      </c>
      <c r="G162" s="33" t="n"/>
      <c r="H162" s="31">
        <f>IF(بيانات!B162&lt;&gt;"",بيانات!AE162,"")</f>
        <v/>
      </c>
      <c r="I162" s="34">
        <f>IF(بيانات!B162&lt;&gt;"",بيانات!AJ162,"")</f>
        <v/>
      </c>
    </row>
    <row r="163" ht="22" customHeight="1">
      <c r="A163" s="31">
        <f>IF(بيانات!B163&lt;&gt;"",بيانات!A163,"")</f>
        <v/>
      </c>
      <c r="B163" s="34">
        <f>IF(بيانات!B163&lt;&gt;"",بيانات!B163,"")</f>
        <v/>
      </c>
      <c r="C163" s="34">
        <f>IF(بيانات!B163&lt;&gt;"",بيانات!C163,"")</f>
        <v/>
      </c>
      <c r="D163" s="35">
        <f>IF(بيانات!B163&lt;&gt;"",بيانات!Z163,"")</f>
        <v/>
      </c>
      <c r="E163" s="35" t="n"/>
      <c r="F163" s="35">
        <f>IF(E163="","",E163+30)</f>
        <v/>
      </c>
      <c r="G163" s="33" t="n"/>
      <c r="H163" s="31">
        <f>IF(بيانات!B163&lt;&gt;"",بيانات!AE163,"")</f>
        <v/>
      </c>
      <c r="I163" s="34">
        <f>IF(بيانات!B163&lt;&gt;"",بيانات!AJ163,"")</f>
        <v/>
      </c>
    </row>
    <row r="164" ht="22" customHeight="1">
      <c r="A164" s="31">
        <f>IF(بيانات!B164&lt;&gt;"",بيانات!A164,"")</f>
        <v/>
      </c>
      <c r="B164" s="34">
        <f>IF(بيانات!B164&lt;&gt;"",بيانات!B164,"")</f>
        <v/>
      </c>
      <c r="C164" s="34">
        <f>IF(بيانات!B164&lt;&gt;"",بيانات!C164,"")</f>
        <v/>
      </c>
      <c r="D164" s="35">
        <f>IF(بيانات!B164&lt;&gt;"",بيانات!Z164,"")</f>
        <v/>
      </c>
      <c r="E164" s="35" t="n"/>
      <c r="F164" s="35">
        <f>IF(E164="","",E164+30)</f>
        <v/>
      </c>
      <c r="G164" s="33" t="n"/>
      <c r="H164" s="31">
        <f>IF(بيانات!B164&lt;&gt;"",بيانات!AE164,"")</f>
        <v/>
      </c>
      <c r="I164" s="34">
        <f>IF(بيانات!B164&lt;&gt;"",بيانات!AJ164,"")</f>
        <v/>
      </c>
    </row>
    <row r="165" ht="22" customHeight="1">
      <c r="A165" s="31">
        <f>IF(بيانات!B165&lt;&gt;"",بيانات!A165,"")</f>
        <v/>
      </c>
      <c r="B165" s="34">
        <f>IF(بيانات!B165&lt;&gt;"",بيانات!B165,"")</f>
        <v/>
      </c>
      <c r="C165" s="34">
        <f>IF(بيانات!B165&lt;&gt;"",بيانات!C165,"")</f>
        <v/>
      </c>
      <c r="D165" s="35">
        <f>IF(بيانات!B165&lt;&gt;"",بيانات!Z165,"")</f>
        <v/>
      </c>
      <c r="E165" s="35" t="n"/>
      <c r="F165" s="35">
        <f>IF(E165="","",E165+30)</f>
        <v/>
      </c>
      <c r="G165" s="33" t="n"/>
      <c r="H165" s="31">
        <f>IF(بيانات!B165&lt;&gt;"",بيانات!AE165,"")</f>
        <v/>
      </c>
      <c r="I165" s="34">
        <f>IF(بيانات!B165&lt;&gt;"",بيانات!AJ165,"")</f>
        <v/>
      </c>
    </row>
    <row r="166" ht="22" customHeight="1">
      <c r="A166" s="31">
        <f>IF(بيانات!B166&lt;&gt;"",بيانات!A166,"")</f>
        <v/>
      </c>
      <c r="B166" s="34">
        <f>IF(بيانات!B166&lt;&gt;"",بيانات!B166,"")</f>
        <v/>
      </c>
      <c r="C166" s="34">
        <f>IF(بيانات!B166&lt;&gt;"",بيانات!C166,"")</f>
        <v/>
      </c>
      <c r="D166" s="35">
        <f>IF(بيانات!B166&lt;&gt;"",بيانات!Z166,"")</f>
        <v/>
      </c>
      <c r="E166" s="35" t="n"/>
      <c r="F166" s="35">
        <f>IF(E166="","",E166+30)</f>
        <v/>
      </c>
      <c r="G166" s="33" t="n"/>
      <c r="H166" s="31">
        <f>IF(بيانات!B166&lt;&gt;"",بيانات!AE166,"")</f>
        <v/>
      </c>
      <c r="I166" s="34">
        <f>IF(بيانات!B166&lt;&gt;"",بيانات!AJ166,"")</f>
        <v/>
      </c>
    </row>
    <row r="167" ht="22" customHeight="1">
      <c r="A167" s="31">
        <f>IF(بيانات!B167&lt;&gt;"",بيانات!A167,"")</f>
        <v/>
      </c>
      <c r="B167" s="34">
        <f>IF(بيانات!B167&lt;&gt;"",بيانات!B167,"")</f>
        <v/>
      </c>
      <c r="C167" s="34">
        <f>IF(بيانات!B167&lt;&gt;"",بيانات!C167,"")</f>
        <v/>
      </c>
      <c r="D167" s="35">
        <f>IF(بيانات!B167&lt;&gt;"",بيانات!Z167,"")</f>
        <v/>
      </c>
      <c r="E167" s="35" t="n"/>
      <c r="F167" s="35">
        <f>IF(E167="","",E167+30)</f>
        <v/>
      </c>
      <c r="G167" s="33" t="n"/>
      <c r="H167" s="31">
        <f>IF(بيانات!B167&lt;&gt;"",بيانات!AE167,"")</f>
        <v/>
      </c>
      <c r="I167" s="34">
        <f>IF(بيانات!B167&lt;&gt;"",بيانات!AJ167,"")</f>
        <v/>
      </c>
    </row>
    <row r="168" ht="22" customHeight="1">
      <c r="A168" s="31">
        <f>IF(بيانات!B168&lt;&gt;"",بيانات!A168,"")</f>
        <v/>
      </c>
      <c r="B168" s="34">
        <f>IF(بيانات!B168&lt;&gt;"",بيانات!B168,"")</f>
        <v/>
      </c>
      <c r="C168" s="34">
        <f>IF(بيانات!B168&lt;&gt;"",بيانات!C168,"")</f>
        <v/>
      </c>
      <c r="D168" s="35">
        <f>IF(بيانات!B168&lt;&gt;"",بيانات!Z168,"")</f>
        <v/>
      </c>
      <c r="E168" s="35" t="n"/>
      <c r="F168" s="35">
        <f>IF(E168="","",E168+30)</f>
        <v/>
      </c>
      <c r="G168" s="33" t="n"/>
      <c r="H168" s="31">
        <f>IF(بيانات!B168&lt;&gt;"",بيانات!AE168,"")</f>
        <v/>
      </c>
      <c r="I168" s="34">
        <f>IF(بيانات!B168&lt;&gt;"",بيانات!AJ168,"")</f>
        <v/>
      </c>
    </row>
    <row r="169" ht="22" customHeight="1">
      <c r="A169" s="31">
        <f>IF(بيانات!B169&lt;&gt;"",بيانات!A169,"")</f>
        <v/>
      </c>
      <c r="B169" s="34">
        <f>IF(بيانات!B169&lt;&gt;"",بيانات!B169,"")</f>
        <v/>
      </c>
      <c r="C169" s="34">
        <f>IF(بيانات!B169&lt;&gt;"",بيانات!C169,"")</f>
        <v/>
      </c>
      <c r="D169" s="35">
        <f>IF(بيانات!B169&lt;&gt;"",بيانات!Z169,"")</f>
        <v/>
      </c>
      <c r="E169" s="35" t="n"/>
      <c r="F169" s="35">
        <f>IF(E169="","",E169+30)</f>
        <v/>
      </c>
      <c r="G169" s="33" t="n"/>
      <c r="H169" s="31">
        <f>IF(بيانات!B169&lt;&gt;"",بيانات!AE169,"")</f>
        <v/>
      </c>
      <c r="I169" s="34">
        <f>IF(بيانات!B169&lt;&gt;"",بيانات!AJ169,"")</f>
        <v/>
      </c>
    </row>
    <row r="170" ht="22" customHeight="1">
      <c r="A170" s="31">
        <f>IF(بيانات!B170&lt;&gt;"",بيانات!A170,"")</f>
        <v/>
      </c>
      <c r="B170" s="34">
        <f>IF(بيانات!B170&lt;&gt;"",بيانات!B170,"")</f>
        <v/>
      </c>
      <c r="C170" s="34">
        <f>IF(بيانات!B170&lt;&gt;"",بيانات!C170,"")</f>
        <v/>
      </c>
      <c r="D170" s="35">
        <f>IF(بيانات!B170&lt;&gt;"",بيانات!Z170,"")</f>
        <v/>
      </c>
      <c r="E170" s="35" t="n"/>
      <c r="F170" s="35">
        <f>IF(E170="","",E170+30)</f>
        <v/>
      </c>
      <c r="G170" s="33" t="n"/>
      <c r="H170" s="31">
        <f>IF(بيانات!B170&lt;&gt;"",بيانات!AE170,"")</f>
        <v/>
      </c>
      <c r="I170" s="34">
        <f>IF(بيانات!B170&lt;&gt;"",بيانات!AJ170,"")</f>
        <v/>
      </c>
    </row>
    <row r="171" ht="22" customHeight="1">
      <c r="A171" s="31">
        <f>IF(بيانات!B171&lt;&gt;"",بيانات!A171,"")</f>
        <v/>
      </c>
      <c r="B171" s="34">
        <f>IF(بيانات!B171&lt;&gt;"",بيانات!B171,"")</f>
        <v/>
      </c>
      <c r="C171" s="34">
        <f>IF(بيانات!B171&lt;&gt;"",بيانات!C171,"")</f>
        <v/>
      </c>
      <c r="D171" s="35">
        <f>IF(بيانات!B171&lt;&gt;"",بيانات!Z171,"")</f>
        <v/>
      </c>
      <c r="E171" s="35" t="n"/>
      <c r="F171" s="35">
        <f>IF(E171="","",E171+30)</f>
        <v/>
      </c>
      <c r="G171" s="33" t="n"/>
      <c r="H171" s="31">
        <f>IF(بيانات!B171&lt;&gt;"",بيانات!AE171,"")</f>
        <v/>
      </c>
      <c r="I171" s="34">
        <f>IF(بيانات!B171&lt;&gt;"",بيانات!AJ171,"")</f>
        <v/>
      </c>
    </row>
    <row r="172" ht="22" customHeight="1">
      <c r="A172" s="31">
        <f>IF(بيانات!B172&lt;&gt;"",بيانات!A172,"")</f>
        <v/>
      </c>
      <c r="B172" s="34">
        <f>IF(بيانات!B172&lt;&gt;"",بيانات!B172,"")</f>
        <v/>
      </c>
      <c r="C172" s="34">
        <f>IF(بيانات!B172&lt;&gt;"",بيانات!C172,"")</f>
        <v/>
      </c>
      <c r="D172" s="35">
        <f>IF(بيانات!B172&lt;&gt;"",بيانات!Z172,"")</f>
        <v/>
      </c>
      <c r="E172" s="35" t="n"/>
      <c r="F172" s="35">
        <f>IF(E172="","",E172+30)</f>
        <v/>
      </c>
      <c r="G172" s="33" t="n"/>
      <c r="H172" s="31">
        <f>IF(بيانات!B172&lt;&gt;"",بيانات!AE172,"")</f>
        <v/>
      </c>
      <c r="I172" s="34">
        <f>IF(بيانات!B172&lt;&gt;"",بيانات!AJ172,"")</f>
        <v/>
      </c>
    </row>
    <row r="173" ht="22" customHeight="1">
      <c r="A173" s="31">
        <f>IF(بيانات!B173&lt;&gt;"",بيانات!A173,"")</f>
        <v/>
      </c>
      <c r="B173" s="34">
        <f>IF(بيانات!B173&lt;&gt;"",بيانات!B173,"")</f>
        <v/>
      </c>
      <c r="C173" s="34">
        <f>IF(بيانات!B173&lt;&gt;"",بيانات!C173,"")</f>
        <v/>
      </c>
      <c r="D173" s="35">
        <f>IF(بيانات!B173&lt;&gt;"",بيانات!Z173,"")</f>
        <v/>
      </c>
      <c r="E173" s="35" t="n"/>
      <c r="F173" s="35">
        <f>IF(E173="","",E173+30)</f>
        <v/>
      </c>
      <c r="G173" s="33" t="n"/>
      <c r="H173" s="31">
        <f>IF(بيانات!B173&lt;&gt;"",بيانات!AE173,"")</f>
        <v/>
      </c>
      <c r="I173" s="34">
        <f>IF(بيانات!B173&lt;&gt;"",بيانات!AJ173,"")</f>
        <v/>
      </c>
    </row>
    <row r="174" ht="22" customHeight="1">
      <c r="A174" s="31">
        <f>IF(بيانات!B174&lt;&gt;"",بيانات!A174,"")</f>
        <v/>
      </c>
      <c r="B174" s="34">
        <f>IF(بيانات!B174&lt;&gt;"",بيانات!B174,"")</f>
        <v/>
      </c>
      <c r="C174" s="34">
        <f>IF(بيانات!B174&lt;&gt;"",بيانات!C174,"")</f>
        <v/>
      </c>
      <c r="D174" s="35">
        <f>IF(بيانات!B174&lt;&gt;"",بيانات!Z174,"")</f>
        <v/>
      </c>
      <c r="E174" s="35" t="n"/>
      <c r="F174" s="35">
        <f>IF(E174="","",E174+30)</f>
        <v/>
      </c>
      <c r="G174" s="33" t="n"/>
      <c r="H174" s="31">
        <f>IF(بيانات!B174&lt;&gt;"",بيانات!AE174,"")</f>
        <v/>
      </c>
      <c r="I174" s="34">
        <f>IF(بيانات!B174&lt;&gt;"",بيانات!AJ174,"")</f>
        <v/>
      </c>
    </row>
    <row r="175" ht="22" customHeight="1">
      <c r="A175" s="31">
        <f>IF(بيانات!B175&lt;&gt;"",بيانات!A175,"")</f>
        <v/>
      </c>
      <c r="B175" s="34">
        <f>IF(بيانات!B175&lt;&gt;"",بيانات!B175,"")</f>
        <v/>
      </c>
      <c r="C175" s="34">
        <f>IF(بيانات!B175&lt;&gt;"",بيانات!C175,"")</f>
        <v/>
      </c>
      <c r="D175" s="35">
        <f>IF(بيانات!B175&lt;&gt;"",بيانات!Z175,"")</f>
        <v/>
      </c>
      <c r="E175" s="35" t="n"/>
      <c r="F175" s="35">
        <f>IF(E175="","",E175+30)</f>
        <v/>
      </c>
      <c r="G175" s="33" t="n"/>
      <c r="H175" s="31">
        <f>IF(بيانات!B175&lt;&gt;"",بيانات!AE175,"")</f>
        <v/>
      </c>
      <c r="I175" s="34">
        <f>IF(بيانات!B175&lt;&gt;"",بيانات!AJ175,"")</f>
        <v/>
      </c>
    </row>
    <row r="176" ht="22" customHeight="1">
      <c r="A176" s="31">
        <f>IF(بيانات!B176&lt;&gt;"",بيانات!A176,"")</f>
        <v/>
      </c>
      <c r="B176" s="34">
        <f>IF(بيانات!B176&lt;&gt;"",بيانات!B176,"")</f>
        <v/>
      </c>
      <c r="C176" s="34">
        <f>IF(بيانات!B176&lt;&gt;"",بيانات!C176,"")</f>
        <v/>
      </c>
      <c r="D176" s="35">
        <f>IF(بيانات!B176&lt;&gt;"",بيانات!Z176,"")</f>
        <v/>
      </c>
      <c r="E176" s="35" t="n"/>
      <c r="F176" s="35">
        <f>IF(E176="","",E176+30)</f>
        <v/>
      </c>
      <c r="G176" s="33" t="n"/>
      <c r="H176" s="31">
        <f>IF(بيانات!B176&lt;&gt;"",بيانات!AE176,"")</f>
        <v/>
      </c>
      <c r="I176" s="34">
        <f>IF(بيانات!B176&lt;&gt;"",بيانات!AJ176,"")</f>
        <v/>
      </c>
    </row>
    <row r="177" ht="22" customHeight="1">
      <c r="A177" s="31">
        <f>IF(بيانات!B177&lt;&gt;"",بيانات!A177,"")</f>
        <v/>
      </c>
      <c r="B177" s="34">
        <f>IF(بيانات!B177&lt;&gt;"",بيانات!B177,"")</f>
        <v/>
      </c>
      <c r="C177" s="34">
        <f>IF(بيانات!B177&lt;&gt;"",بيانات!C177,"")</f>
        <v/>
      </c>
      <c r="D177" s="35">
        <f>IF(بيانات!B177&lt;&gt;"",بيانات!Z177,"")</f>
        <v/>
      </c>
      <c r="E177" s="35" t="n"/>
      <c r="F177" s="35">
        <f>IF(E177="","",E177+30)</f>
        <v/>
      </c>
      <c r="G177" s="33" t="n"/>
      <c r="H177" s="31">
        <f>IF(بيانات!B177&lt;&gt;"",بيانات!AE177,"")</f>
        <v/>
      </c>
      <c r="I177" s="34">
        <f>IF(بيانات!B177&lt;&gt;"",بيانات!AJ177,"")</f>
        <v/>
      </c>
    </row>
    <row r="178" ht="22" customHeight="1">
      <c r="A178" s="31">
        <f>IF(بيانات!B178&lt;&gt;"",بيانات!A178,"")</f>
        <v/>
      </c>
      <c r="B178" s="34">
        <f>IF(بيانات!B178&lt;&gt;"",بيانات!B178,"")</f>
        <v/>
      </c>
      <c r="C178" s="34">
        <f>IF(بيانات!B178&lt;&gt;"",بيانات!C178,"")</f>
        <v/>
      </c>
      <c r="D178" s="35">
        <f>IF(بيانات!B178&lt;&gt;"",بيانات!Z178,"")</f>
        <v/>
      </c>
      <c r="E178" s="35" t="n"/>
      <c r="F178" s="35">
        <f>IF(E178="","",E178+30)</f>
        <v/>
      </c>
      <c r="G178" s="33" t="n"/>
      <c r="H178" s="31">
        <f>IF(بيانات!B178&lt;&gt;"",بيانات!AE178,"")</f>
        <v/>
      </c>
      <c r="I178" s="34">
        <f>IF(بيانات!B178&lt;&gt;"",بيانات!AJ178,"")</f>
        <v/>
      </c>
    </row>
    <row r="179" ht="22" customHeight="1">
      <c r="A179" s="31">
        <f>IF(بيانات!B179&lt;&gt;"",بيانات!A179,"")</f>
        <v/>
      </c>
      <c r="B179" s="34">
        <f>IF(بيانات!B179&lt;&gt;"",بيانات!B179,"")</f>
        <v/>
      </c>
      <c r="C179" s="34">
        <f>IF(بيانات!B179&lt;&gt;"",بيانات!C179,"")</f>
        <v/>
      </c>
      <c r="D179" s="35">
        <f>IF(بيانات!B179&lt;&gt;"",بيانات!Z179,"")</f>
        <v/>
      </c>
      <c r="E179" s="35" t="n"/>
      <c r="F179" s="35">
        <f>IF(E179="","",E179+30)</f>
        <v/>
      </c>
      <c r="G179" s="33" t="n"/>
      <c r="H179" s="31">
        <f>IF(بيانات!B179&lt;&gt;"",بيانات!AE179,"")</f>
        <v/>
      </c>
      <c r="I179" s="34">
        <f>IF(بيانات!B179&lt;&gt;"",بيانات!AJ179,"")</f>
        <v/>
      </c>
    </row>
    <row r="180" ht="22" customHeight="1">
      <c r="A180" s="31">
        <f>IF(بيانات!B180&lt;&gt;"",بيانات!A180,"")</f>
        <v/>
      </c>
      <c r="B180" s="34">
        <f>IF(بيانات!B180&lt;&gt;"",بيانات!B180,"")</f>
        <v/>
      </c>
      <c r="C180" s="34">
        <f>IF(بيانات!B180&lt;&gt;"",بيانات!C180,"")</f>
        <v/>
      </c>
      <c r="D180" s="35">
        <f>IF(بيانات!B180&lt;&gt;"",بيانات!Z180,"")</f>
        <v/>
      </c>
      <c r="E180" s="35" t="n"/>
      <c r="F180" s="35">
        <f>IF(E180="","",E180+30)</f>
        <v/>
      </c>
      <c r="G180" s="33" t="n"/>
      <c r="H180" s="31">
        <f>IF(بيانات!B180&lt;&gt;"",بيانات!AE180,"")</f>
        <v/>
      </c>
      <c r="I180" s="34">
        <f>IF(بيانات!B180&lt;&gt;"",بيانات!AJ180,"")</f>
        <v/>
      </c>
    </row>
    <row r="181" ht="22" customHeight="1">
      <c r="A181" s="31">
        <f>IF(بيانات!B181&lt;&gt;"",بيانات!A181,"")</f>
        <v/>
      </c>
      <c r="B181" s="34">
        <f>IF(بيانات!B181&lt;&gt;"",بيانات!B181,"")</f>
        <v/>
      </c>
      <c r="C181" s="34">
        <f>IF(بيانات!B181&lt;&gt;"",بيانات!C181,"")</f>
        <v/>
      </c>
      <c r="D181" s="35">
        <f>IF(بيانات!B181&lt;&gt;"",بيانات!Z181,"")</f>
        <v/>
      </c>
      <c r="E181" s="35" t="n"/>
      <c r="F181" s="35">
        <f>IF(E181="","",E181+30)</f>
        <v/>
      </c>
      <c r="G181" s="33" t="n"/>
      <c r="H181" s="31">
        <f>IF(بيانات!B181&lt;&gt;"",بيانات!AE181,"")</f>
        <v/>
      </c>
      <c r="I181" s="34">
        <f>IF(بيانات!B181&lt;&gt;"",بيانات!AJ181,"")</f>
        <v/>
      </c>
    </row>
    <row r="182" ht="22" customHeight="1">
      <c r="A182" s="31">
        <f>IF(بيانات!B182&lt;&gt;"",بيانات!A182,"")</f>
        <v/>
      </c>
      <c r="B182" s="34">
        <f>IF(بيانات!B182&lt;&gt;"",بيانات!B182,"")</f>
        <v/>
      </c>
      <c r="C182" s="34">
        <f>IF(بيانات!B182&lt;&gt;"",بيانات!C182,"")</f>
        <v/>
      </c>
      <c r="D182" s="35">
        <f>IF(بيانات!B182&lt;&gt;"",بيانات!Z182,"")</f>
        <v/>
      </c>
      <c r="E182" s="35" t="n"/>
      <c r="F182" s="35">
        <f>IF(E182="","",E182+30)</f>
        <v/>
      </c>
      <c r="G182" s="33" t="n"/>
      <c r="H182" s="31">
        <f>IF(بيانات!B182&lt;&gt;"",بيانات!AE182,"")</f>
        <v/>
      </c>
      <c r="I182" s="34">
        <f>IF(بيانات!B182&lt;&gt;"",بيانات!AJ182,"")</f>
        <v/>
      </c>
    </row>
    <row r="183" ht="22" customHeight="1">
      <c r="A183" s="31">
        <f>IF(بيانات!B183&lt;&gt;"",بيانات!A183,"")</f>
        <v/>
      </c>
      <c r="B183" s="34">
        <f>IF(بيانات!B183&lt;&gt;"",بيانات!B183,"")</f>
        <v/>
      </c>
      <c r="C183" s="34">
        <f>IF(بيانات!B183&lt;&gt;"",بيانات!C183,"")</f>
        <v/>
      </c>
      <c r="D183" s="35">
        <f>IF(بيانات!B183&lt;&gt;"",بيانات!Z183,"")</f>
        <v/>
      </c>
      <c r="E183" s="35" t="n"/>
      <c r="F183" s="35">
        <f>IF(E183="","",E183+30)</f>
        <v/>
      </c>
      <c r="G183" s="33" t="n"/>
      <c r="H183" s="31">
        <f>IF(بيانات!B183&lt;&gt;"",بيانات!AE183,"")</f>
        <v/>
      </c>
      <c r="I183" s="34">
        <f>IF(بيانات!B183&lt;&gt;"",بيانات!AJ183,"")</f>
        <v/>
      </c>
    </row>
    <row r="184" ht="22" customHeight="1">
      <c r="A184" s="31">
        <f>IF(بيانات!B184&lt;&gt;"",بيانات!A184,"")</f>
        <v/>
      </c>
      <c r="B184" s="34">
        <f>IF(بيانات!B184&lt;&gt;"",بيانات!B184,"")</f>
        <v/>
      </c>
      <c r="C184" s="34">
        <f>IF(بيانات!B184&lt;&gt;"",بيانات!C184,"")</f>
        <v/>
      </c>
      <c r="D184" s="35">
        <f>IF(بيانات!B184&lt;&gt;"",بيانات!Z184,"")</f>
        <v/>
      </c>
      <c r="E184" s="35" t="n"/>
      <c r="F184" s="35">
        <f>IF(E184="","",E184+30)</f>
        <v/>
      </c>
      <c r="G184" s="33" t="n"/>
      <c r="H184" s="31">
        <f>IF(بيانات!B184&lt;&gt;"",بيانات!AE184,"")</f>
        <v/>
      </c>
      <c r="I184" s="34">
        <f>IF(بيانات!B184&lt;&gt;"",بيانات!AJ184,"")</f>
        <v/>
      </c>
    </row>
    <row r="185" ht="22" customHeight="1">
      <c r="A185" s="31">
        <f>IF(بيانات!B185&lt;&gt;"",بيانات!A185,"")</f>
        <v/>
      </c>
      <c r="B185" s="34">
        <f>IF(بيانات!B185&lt;&gt;"",بيانات!B185,"")</f>
        <v/>
      </c>
      <c r="C185" s="34">
        <f>IF(بيانات!B185&lt;&gt;"",بيانات!C185,"")</f>
        <v/>
      </c>
      <c r="D185" s="35">
        <f>IF(بيانات!B185&lt;&gt;"",بيانات!Z185,"")</f>
        <v/>
      </c>
      <c r="E185" s="35" t="n"/>
      <c r="F185" s="35">
        <f>IF(E185="","",E185+30)</f>
        <v/>
      </c>
      <c r="G185" s="33" t="n"/>
      <c r="H185" s="31">
        <f>IF(بيانات!B185&lt;&gt;"",بيانات!AE185,"")</f>
        <v/>
      </c>
      <c r="I185" s="34">
        <f>IF(بيانات!B185&lt;&gt;"",بيانات!AJ185,"")</f>
        <v/>
      </c>
    </row>
    <row r="186" ht="22" customHeight="1">
      <c r="A186" s="31">
        <f>IF(بيانات!B186&lt;&gt;"",بيانات!A186,"")</f>
        <v/>
      </c>
      <c r="B186" s="34">
        <f>IF(بيانات!B186&lt;&gt;"",بيانات!B186,"")</f>
        <v/>
      </c>
      <c r="C186" s="34">
        <f>IF(بيانات!B186&lt;&gt;"",بيانات!C186,"")</f>
        <v/>
      </c>
      <c r="D186" s="35">
        <f>IF(بيانات!B186&lt;&gt;"",بيانات!Z186,"")</f>
        <v/>
      </c>
      <c r="E186" s="35" t="n"/>
      <c r="F186" s="35">
        <f>IF(E186="","",E186+30)</f>
        <v/>
      </c>
      <c r="G186" s="33" t="n"/>
      <c r="H186" s="31">
        <f>IF(بيانات!B186&lt;&gt;"",بيانات!AE186,"")</f>
        <v/>
      </c>
      <c r="I186" s="34">
        <f>IF(بيانات!B186&lt;&gt;"",بيانات!AJ186,"")</f>
        <v/>
      </c>
    </row>
    <row r="187" ht="22" customHeight="1">
      <c r="A187" s="31">
        <f>IF(بيانات!B187&lt;&gt;"",بيانات!A187,"")</f>
        <v/>
      </c>
      <c r="B187" s="34">
        <f>IF(بيانات!B187&lt;&gt;"",بيانات!B187,"")</f>
        <v/>
      </c>
      <c r="C187" s="34">
        <f>IF(بيانات!B187&lt;&gt;"",بيانات!C187,"")</f>
        <v/>
      </c>
      <c r="D187" s="35">
        <f>IF(بيانات!B187&lt;&gt;"",بيانات!Z187,"")</f>
        <v/>
      </c>
      <c r="E187" s="35" t="n"/>
      <c r="F187" s="35">
        <f>IF(E187="","",E187+30)</f>
        <v/>
      </c>
      <c r="G187" s="33" t="n"/>
      <c r="H187" s="31">
        <f>IF(بيانات!B187&lt;&gt;"",بيانات!AE187,"")</f>
        <v/>
      </c>
      <c r="I187" s="34">
        <f>IF(بيانات!B187&lt;&gt;"",بيانات!AJ187,"")</f>
        <v/>
      </c>
    </row>
    <row r="188" ht="22" customHeight="1">
      <c r="A188" s="31">
        <f>IF(بيانات!B188&lt;&gt;"",بيانات!A188,"")</f>
        <v/>
      </c>
      <c r="B188" s="34">
        <f>IF(بيانات!B188&lt;&gt;"",بيانات!B188,"")</f>
        <v/>
      </c>
      <c r="C188" s="34">
        <f>IF(بيانات!B188&lt;&gt;"",بيانات!C188,"")</f>
        <v/>
      </c>
      <c r="D188" s="35">
        <f>IF(بيانات!B188&lt;&gt;"",بيانات!Z188,"")</f>
        <v/>
      </c>
      <c r="E188" s="35" t="n"/>
      <c r="F188" s="35">
        <f>IF(E188="","",E188+30)</f>
        <v/>
      </c>
      <c r="G188" s="33" t="n"/>
      <c r="H188" s="31">
        <f>IF(بيانات!B188&lt;&gt;"",بيانات!AE188,"")</f>
        <v/>
      </c>
      <c r="I188" s="34">
        <f>IF(بيانات!B188&lt;&gt;"",بيانات!AJ188,"")</f>
        <v/>
      </c>
    </row>
    <row r="189" ht="22" customHeight="1">
      <c r="A189" s="31">
        <f>IF(بيانات!B189&lt;&gt;"",بيانات!A189,"")</f>
        <v/>
      </c>
      <c r="B189" s="34">
        <f>IF(بيانات!B189&lt;&gt;"",بيانات!B189,"")</f>
        <v/>
      </c>
      <c r="C189" s="34">
        <f>IF(بيانات!B189&lt;&gt;"",بيانات!C189,"")</f>
        <v/>
      </c>
      <c r="D189" s="35">
        <f>IF(بيانات!B189&lt;&gt;"",بيانات!Z189,"")</f>
        <v/>
      </c>
      <c r="E189" s="35" t="n"/>
      <c r="F189" s="35">
        <f>IF(E189="","",E189+30)</f>
        <v/>
      </c>
      <c r="G189" s="33" t="n"/>
      <c r="H189" s="31">
        <f>IF(بيانات!B189&lt;&gt;"",بيانات!AE189,"")</f>
        <v/>
      </c>
      <c r="I189" s="34">
        <f>IF(بيانات!B189&lt;&gt;"",بيانات!AJ189,"")</f>
        <v/>
      </c>
    </row>
    <row r="190" ht="22" customHeight="1">
      <c r="A190" s="31">
        <f>IF(بيانات!B190&lt;&gt;"",بيانات!A190,"")</f>
        <v/>
      </c>
      <c r="B190" s="34">
        <f>IF(بيانات!B190&lt;&gt;"",بيانات!B190,"")</f>
        <v/>
      </c>
      <c r="C190" s="34">
        <f>IF(بيانات!B190&lt;&gt;"",بيانات!C190,"")</f>
        <v/>
      </c>
      <c r="D190" s="35">
        <f>IF(بيانات!B190&lt;&gt;"",بيانات!Z190,"")</f>
        <v/>
      </c>
      <c r="E190" s="35" t="n"/>
      <c r="F190" s="35">
        <f>IF(E190="","",E190+30)</f>
        <v/>
      </c>
      <c r="G190" s="33" t="n"/>
      <c r="H190" s="31">
        <f>IF(بيانات!B190&lt;&gt;"",بيانات!AE190,"")</f>
        <v/>
      </c>
      <c r="I190" s="34">
        <f>IF(بيانات!B190&lt;&gt;"",بيانات!AJ190,"")</f>
        <v/>
      </c>
    </row>
    <row r="191" ht="22" customHeight="1">
      <c r="A191" s="31">
        <f>IF(بيانات!B191&lt;&gt;"",بيانات!A191,"")</f>
        <v/>
      </c>
      <c r="B191" s="34">
        <f>IF(بيانات!B191&lt;&gt;"",بيانات!B191,"")</f>
        <v/>
      </c>
      <c r="C191" s="34">
        <f>IF(بيانات!B191&lt;&gt;"",بيانات!C191,"")</f>
        <v/>
      </c>
      <c r="D191" s="35">
        <f>IF(بيانات!B191&lt;&gt;"",بيانات!Z191,"")</f>
        <v/>
      </c>
      <c r="E191" s="35" t="n"/>
      <c r="F191" s="35">
        <f>IF(E191="","",E191+30)</f>
        <v/>
      </c>
      <c r="G191" s="33" t="n"/>
      <c r="H191" s="31">
        <f>IF(بيانات!B191&lt;&gt;"",بيانات!AE191,"")</f>
        <v/>
      </c>
      <c r="I191" s="34">
        <f>IF(بيانات!B191&lt;&gt;"",بيانات!AJ191,"")</f>
        <v/>
      </c>
    </row>
    <row r="192" ht="22" customHeight="1">
      <c r="A192" s="31">
        <f>IF(بيانات!B192&lt;&gt;"",بيانات!A192,"")</f>
        <v/>
      </c>
      <c r="B192" s="34">
        <f>IF(بيانات!B192&lt;&gt;"",بيانات!B192,"")</f>
        <v/>
      </c>
      <c r="C192" s="34">
        <f>IF(بيانات!B192&lt;&gt;"",بيانات!C192,"")</f>
        <v/>
      </c>
      <c r="D192" s="35">
        <f>IF(بيانات!B192&lt;&gt;"",بيانات!Z192,"")</f>
        <v/>
      </c>
      <c r="E192" s="35" t="n"/>
      <c r="F192" s="35">
        <f>IF(E192="","",E192+30)</f>
        <v/>
      </c>
      <c r="G192" s="33" t="n"/>
      <c r="H192" s="31">
        <f>IF(بيانات!B192&lt;&gt;"",بيانات!AE192,"")</f>
        <v/>
      </c>
      <c r="I192" s="34">
        <f>IF(بيانات!B192&lt;&gt;"",بيانات!AJ192,"")</f>
        <v/>
      </c>
    </row>
    <row r="193" ht="22" customHeight="1">
      <c r="A193" s="31">
        <f>IF(بيانات!B193&lt;&gt;"",بيانات!A193,"")</f>
        <v/>
      </c>
      <c r="B193" s="34">
        <f>IF(بيانات!B193&lt;&gt;"",بيانات!B193,"")</f>
        <v/>
      </c>
      <c r="C193" s="34">
        <f>IF(بيانات!B193&lt;&gt;"",بيانات!C193,"")</f>
        <v/>
      </c>
      <c r="D193" s="35">
        <f>IF(بيانات!B193&lt;&gt;"",بيانات!Z193,"")</f>
        <v/>
      </c>
      <c r="E193" s="35" t="n"/>
      <c r="F193" s="35">
        <f>IF(E193="","",E193+30)</f>
        <v/>
      </c>
      <c r="G193" s="33" t="n"/>
      <c r="H193" s="31">
        <f>IF(بيانات!B193&lt;&gt;"",بيانات!AE193,"")</f>
        <v/>
      </c>
      <c r="I193" s="34">
        <f>IF(بيانات!B193&lt;&gt;"",بيانات!AJ193,"")</f>
        <v/>
      </c>
    </row>
    <row r="194" ht="22" customHeight="1">
      <c r="A194" s="31">
        <f>IF(بيانات!B194&lt;&gt;"",بيانات!A194,"")</f>
        <v/>
      </c>
      <c r="B194" s="34">
        <f>IF(بيانات!B194&lt;&gt;"",بيانات!B194,"")</f>
        <v/>
      </c>
      <c r="C194" s="34">
        <f>IF(بيانات!B194&lt;&gt;"",بيانات!C194,"")</f>
        <v/>
      </c>
      <c r="D194" s="35">
        <f>IF(بيانات!B194&lt;&gt;"",بيانات!Z194,"")</f>
        <v/>
      </c>
      <c r="E194" s="35" t="n"/>
      <c r="F194" s="35">
        <f>IF(E194="","",E194+30)</f>
        <v/>
      </c>
      <c r="G194" s="33" t="n"/>
      <c r="H194" s="31">
        <f>IF(بيانات!B194&lt;&gt;"",بيانات!AE194,"")</f>
        <v/>
      </c>
      <c r="I194" s="34">
        <f>IF(بيانات!B194&lt;&gt;"",بيانات!AJ194,"")</f>
        <v/>
      </c>
    </row>
    <row r="195" ht="22" customHeight="1">
      <c r="A195" s="31">
        <f>IF(بيانات!B195&lt;&gt;"",بيانات!A195,"")</f>
        <v/>
      </c>
      <c r="B195" s="34">
        <f>IF(بيانات!B195&lt;&gt;"",بيانات!B195,"")</f>
        <v/>
      </c>
      <c r="C195" s="34">
        <f>IF(بيانات!B195&lt;&gt;"",بيانات!C195,"")</f>
        <v/>
      </c>
      <c r="D195" s="35">
        <f>IF(بيانات!B195&lt;&gt;"",بيانات!Z195,"")</f>
        <v/>
      </c>
      <c r="E195" s="35" t="n"/>
      <c r="F195" s="35">
        <f>IF(E195="","",E195+30)</f>
        <v/>
      </c>
      <c r="G195" s="33" t="n"/>
      <c r="H195" s="31">
        <f>IF(بيانات!B195&lt;&gt;"",بيانات!AE195,"")</f>
        <v/>
      </c>
      <c r="I195" s="34">
        <f>IF(بيانات!B195&lt;&gt;"",بيانات!AJ195,"")</f>
        <v/>
      </c>
    </row>
    <row r="196" ht="22" customHeight="1">
      <c r="A196" s="31">
        <f>IF(بيانات!B196&lt;&gt;"",بيانات!A196,"")</f>
        <v/>
      </c>
      <c r="B196" s="34">
        <f>IF(بيانات!B196&lt;&gt;"",بيانات!B196,"")</f>
        <v/>
      </c>
      <c r="C196" s="34">
        <f>IF(بيانات!B196&lt;&gt;"",بيانات!C196,"")</f>
        <v/>
      </c>
      <c r="D196" s="35">
        <f>IF(بيانات!B196&lt;&gt;"",بيانات!Z196,"")</f>
        <v/>
      </c>
      <c r="E196" s="35" t="n"/>
      <c r="F196" s="35">
        <f>IF(E196="","",E196+30)</f>
        <v/>
      </c>
      <c r="G196" s="33" t="n"/>
      <c r="H196" s="31">
        <f>IF(بيانات!B196&lt;&gt;"",بيانات!AE196,"")</f>
        <v/>
      </c>
      <c r="I196" s="34">
        <f>IF(بيانات!B196&lt;&gt;"",بيانات!AJ196,"")</f>
        <v/>
      </c>
    </row>
    <row r="197" ht="22" customHeight="1">
      <c r="A197" s="31">
        <f>IF(بيانات!B197&lt;&gt;"",بيانات!A197,"")</f>
        <v/>
      </c>
      <c r="B197" s="34">
        <f>IF(بيانات!B197&lt;&gt;"",بيانات!B197,"")</f>
        <v/>
      </c>
      <c r="C197" s="34">
        <f>IF(بيانات!B197&lt;&gt;"",بيانات!C197,"")</f>
        <v/>
      </c>
      <c r="D197" s="35">
        <f>IF(بيانات!B197&lt;&gt;"",بيانات!Z197,"")</f>
        <v/>
      </c>
      <c r="E197" s="35" t="n"/>
      <c r="F197" s="35">
        <f>IF(E197="","",E197+30)</f>
        <v/>
      </c>
      <c r="G197" s="33" t="n"/>
      <c r="H197" s="31">
        <f>IF(بيانات!B197&lt;&gt;"",بيانات!AE197,"")</f>
        <v/>
      </c>
      <c r="I197" s="34">
        <f>IF(بيانات!B197&lt;&gt;"",بيانات!AJ197,"")</f>
        <v/>
      </c>
    </row>
    <row r="198" ht="22" customHeight="1">
      <c r="A198" s="31">
        <f>IF(بيانات!B198&lt;&gt;"",بيانات!A198,"")</f>
        <v/>
      </c>
      <c r="B198" s="34">
        <f>IF(بيانات!B198&lt;&gt;"",بيانات!B198,"")</f>
        <v/>
      </c>
      <c r="C198" s="34">
        <f>IF(بيانات!B198&lt;&gt;"",بيانات!C198,"")</f>
        <v/>
      </c>
      <c r="D198" s="35">
        <f>IF(بيانات!B198&lt;&gt;"",بيانات!Z198,"")</f>
        <v/>
      </c>
      <c r="E198" s="35" t="n"/>
      <c r="F198" s="35">
        <f>IF(E198="","",E198+30)</f>
        <v/>
      </c>
      <c r="G198" s="33" t="n"/>
      <c r="H198" s="31">
        <f>IF(بيانات!B198&lt;&gt;"",بيانات!AE198,"")</f>
        <v/>
      </c>
      <c r="I198" s="34">
        <f>IF(بيانات!B198&lt;&gt;"",بيانات!AJ198,"")</f>
        <v/>
      </c>
    </row>
    <row r="199" ht="22" customHeight="1">
      <c r="A199" s="31">
        <f>IF(بيانات!B199&lt;&gt;"",بيانات!A199,"")</f>
        <v/>
      </c>
      <c r="B199" s="34">
        <f>IF(بيانات!B199&lt;&gt;"",بيانات!B199,"")</f>
        <v/>
      </c>
      <c r="C199" s="34">
        <f>IF(بيانات!B199&lt;&gt;"",بيانات!C199,"")</f>
        <v/>
      </c>
      <c r="D199" s="35">
        <f>IF(بيانات!B199&lt;&gt;"",بيانات!Z199,"")</f>
        <v/>
      </c>
      <c r="E199" s="35" t="n"/>
      <c r="F199" s="35">
        <f>IF(E199="","",E199+30)</f>
        <v/>
      </c>
      <c r="G199" s="33" t="n"/>
      <c r="H199" s="31">
        <f>IF(بيانات!B199&lt;&gt;"",بيانات!AE199,"")</f>
        <v/>
      </c>
      <c r="I199" s="34">
        <f>IF(بيانات!B199&lt;&gt;"",بيانات!AJ199,"")</f>
        <v/>
      </c>
    </row>
    <row r="200" ht="22" customHeight="1">
      <c r="A200" s="31">
        <f>IF(بيانات!B200&lt;&gt;"",بيانات!A200,"")</f>
        <v/>
      </c>
      <c r="B200" s="34">
        <f>IF(بيانات!B200&lt;&gt;"",بيانات!B200,"")</f>
        <v/>
      </c>
      <c r="C200" s="34">
        <f>IF(بيانات!B200&lt;&gt;"",بيانات!C200,"")</f>
        <v/>
      </c>
      <c r="D200" s="35">
        <f>IF(بيانات!B200&lt;&gt;"",بيانات!Z200,"")</f>
        <v/>
      </c>
      <c r="E200" s="35" t="n"/>
      <c r="F200" s="35">
        <f>IF(E200="","",E200+30)</f>
        <v/>
      </c>
      <c r="G200" s="33" t="n"/>
      <c r="H200" s="31">
        <f>IF(بيانات!B200&lt;&gt;"",بيانات!AE200,"")</f>
        <v/>
      </c>
      <c r="I200" s="34">
        <f>IF(بيانات!B200&lt;&gt;"",بيانات!AJ200,"")</f>
        <v/>
      </c>
    </row>
    <row r="201" ht="22" customHeight="1">
      <c r="A201" s="31">
        <f>IF(بيانات!B201&lt;&gt;"",بيانات!A201,"")</f>
        <v/>
      </c>
      <c r="B201" s="34">
        <f>IF(بيانات!B201&lt;&gt;"",بيانات!B201,"")</f>
        <v/>
      </c>
      <c r="C201" s="34">
        <f>IF(بيانات!B201&lt;&gt;"",بيانات!C201,"")</f>
        <v/>
      </c>
      <c r="D201" s="35">
        <f>IF(بيانات!B201&lt;&gt;"",بيانات!Z201,"")</f>
        <v/>
      </c>
      <c r="E201" s="35" t="n"/>
      <c r="F201" s="35">
        <f>IF(E201="","",E201+30)</f>
        <v/>
      </c>
      <c r="G201" s="33" t="n"/>
      <c r="H201" s="31">
        <f>IF(بيانات!B201&lt;&gt;"",بيانات!AE201,"")</f>
        <v/>
      </c>
      <c r="I201" s="34">
        <f>IF(بيانات!B201&lt;&gt;"",بيانات!AJ201,"")</f>
        <v/>
      </c>
    </row>
    <row r="202" ht="22" customHeight="1">
      <c r="A202" s="31">
        <f>IF(بيانات!B202&lt;&gt;"",بيانات!A202,"")</f>
        <v/>
      </c>
      <c r="B202" s="34">
        <f>IF(بيانات!B202&lt;&gt;"",بيانات!B202,"")</f>
        <v/>
      </c>
      <c r="C202" s="34">
        <f>IF(بيانات!B202&lt;&gt;"",بيانات!C202,"")</f>
        <v/>
      </c>
      <c r="D202" s="35">
        <f>IF(بيانات!B202&lt;&gt;"",بيانات!Z202,"")</f>
        <v/>
      </c>
      <c r="E202" s="35" t="n"/>
      <c r="F202" s="35">
        <f>IF(E202="","",E202+30)</f>
        <v/>
      </c>
      <c r="G202" s="33" t="n"/>
      <c r="H202" s="31">
        <f>IF(بيانات!B202&lt;&gt;"",بيانات!AE202,"")</f>
        <v/>
      </c>
      <c r="I202" s="34">
        <f>IF(بيانات!B202&lt;&gt;"",بيانات!AJ202,"")</f>
        <v/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02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3" customWidth="1" min="4" max="4"/>
    <col width="14" customWidth="1" min="5" max="5"/>
    <col width="28" customWidth="1" min="6" max="6"/>
    <col width="14" customWidth="1" min="7" max="7"/>
    <col width="3" customWidth="1" min="8" max="8"/>
    <col width="14" customWidth="1" min="9" max="9"/>
    <col width="28" customWidth="1" min="10" max="10"/>
    <col width="14" customWidth="1" min="11" max="11"/>
    <col width="3" customWidth="1" min="12" max="12"/>
    <col width="14" customWidth="1" min="13" max="13"/>
    <col width="28" customWidth="1" min="14" max="14"/>
    <col width="14" customWidth="1" min="15" max="15"/>
    <col width="3" customWidth="1" min="16" max="16"/>
    <col width="14" customWidth="1" min="17" max="17"/>
    <col width="14" customWidth="1" min="18" max="18"/>
    <col hidden="1" width="14" customWidth="1" min="19" max="19"/>
    <col hidden="1" width="14" customWidth="1" min="20" max="20"/>
    <col hidden="1" width="14" customWidth="1" min="21" max="21"/>
    <col hidden="1" width="14" customWidth="1" min="22" max="22"/>
  </cols>
  <sheetData>
    <row r="1" ht="43.5" customHeight="1">
      <c r="A1" s="20" t="inlineStr">
        <is>
          <t>🏷️   تصنيف المنخرطين حسب الفئة العمرية والجنس  —  نادي RCS</t>
        </is>
      </c>
    </row>
    <row r="2">
      <c r="S2" s="36" t="inlineStr">
        <is>
          <t>ذكر&lt;13</t>
        </is>
      </c>
      <c r="T2" s="36" t="inlineStr">
        <is>
          <t>أنثى&lt;13</t>
        </is>
      </c>
      <c r="U2" s="36" t="inlineStr">
        <is>
          <t>ذكر≥13</t>
        </is>
      </c>
      <c r="V2" s="36" t="inlineStr">
        <is>
          <t>أنثى≥13</t>
        </is>
      </c>
    </row>
    <row r="3">
      <c r="A3" s="22" t="inlineStr">
        <is>
          <t>فئة الذكور أقل من 13 سنة</t>
        </is>
      </c>
      <c r="B3" s="37" t="n"/>
      <c r="C3" s="38" t="n"/>
      <c r="E3" s="39" t="inlineStr">
        <is>
          <t>فئة الإناث أقل من 13 سنة</t>
        </is>
      </c>
      <c r="F3" s="37" t="n"/>
      <c r="G3" s="38" t="n"/>
      <c r="I3" s="22" t="inlineStr">
        <is>
          <t>فئة الذكور 13 سنة فما فوق</t>
        </is>
      </c>
      <c r="J3" s="37" t="n"/>
      <c r="K3" s="38" t="n"/>
      <c r="M3" s="39" t="inlineStr">
        <is>
          <t>فئة الإناث 13 سنة فما فوق</t>
        </is>
      </c>
      <c r="N3" s="37" t="n"/>
      <c r="O3" s="38" t="n"/>
      <c r="S3">
        <f>IF(AND(بيانات!$B3&lt;&gt;"",بيانات!$G3="ذكر",بيانات!$H3&lt;13),COUNTA($S$3:S3),"")</f>
        <v/>
      </c>
      <c r="T3">
        <f>IF(AND(بيانات!$B3&lt;&gt;"",بيانات!$G3="أنثى",بيانات!$H3&lt;13),COUNTA($T$3:T3),"")</f>
        <v/>
      </c>
      <c r="U3">
        <f>IF(AND(بيانات!$B3&lt;&gt;"",بيانات!$G3="ذكر",بيانات!$H3&gt;=13),COUNTA($U$3:U3),"")</f>
        <v/>
      </c>
      <c r="V3">
        <f>IF(AND(بيانات!$B3&lt;&gt;"",بيانات!$G3="أنثى",بيانات!$H3&gt;=13),COUNTA($V$3:V3),"")</f>
        <v/>
      </c>
    </row>
    <row r="4">
      <c r="A4" s="40">
        <f>"العدد: " &amp; COUNTIFS(بيانات!$G$3:$G$200,"ذكر",بيانات!$H$3:$H$200,"&lt;13")</f>
        <v/>
      </c>
      <c r="B4" s="37" t="n"/>
      <c r="C4" s="38" t="n"/>
      <c r="E4" s="40">
        <f>"العدد: " &amp; COUNTIFS(بيانات!$G$3:$G$200,"أنثى",بيانات!$H$3:$H$200,"&lt;13")</f>
        <v/>
      </c>
      <c r="F4" s="37" t="n"/>
      <c r="G4" s="38" t="n"/>
      <c r="I4" s="40">
        <f>"العدد: " &amp; COUNTIFS(بيانات!$G$3:$G$200,"ذكر",بيانات!$H$3:$H$200,"&gt;=13")</f>
        <v/>
      </c>
      <c r="J4" s="37" t="n"/>
      <c r="K4" s="38" t="n"/>
      <c r="M4" s="40">
        <f>"العدد: " &amp; COUNTIFS(بيانات!$G$3:$G$200,"أنثى",بيانات!$H$3:$H$200,"&gt;=13")</f>
        <v/>
      </c>
      <c r="N4" s="37" t="n"/>
      <c r="O4" s="38" t="n"/>
      <c r="S4">
        <f>IF(AND(بيانات!$B4&lt;&gt;"",بيانات!$G4="ذكر",بيانات!$H4&lt;13),COUNTA($S$3:S4),"")</f>
        <v/>
      </c>
      <c r="T4">
        <f>IF(AND(بيانات!$B4&lt;&gt;"",بيانات!$G4="أنثى",بيانات!$H4&lt;13),COUNTA($T$3:T4),"")</f>
        <v/>
      </c>
      <c r="U4">
        <f>IF(AND(بيانات!$B4&lt;&gt;"",بيانات!$G4="ذكر",بيانات!$H4&gt;=13),COUNTA($U$3:U4),"")</f>
        <v/>
      </c>
      <c r="V4">
        <f>IF(AND(بيانات!$B4&lt;&gt;"",بيانات!$G4="أنثى",بيانات!$H4&gt;=13),COUNTA($V$3:V4),"")</f>
        <v/>
      </c>
    </row>
    <row r="5">
      <c r="A5" s="2" t="inlineStr">
        <is>
          <t>رقم الملف</t>
        </is>
      </c>
      <c r="B5" s="2" t="inlineStr">
        <is>
          <t>اللقب والاسم</t>
        </is>
      </c>
      <c r="C5" s="2" t="inlineStr">
        <is>
          <t>العمر</t>
        </is>
      </c>
      <c r="E5" s="2" t="inlineStr">
        <is>
          <t>رقم الملف</t>
        </is>
      </c>
      <c r="F5" s="2" t="inlineStr">
        <is>
          <t>اللقب والاسم</t>
        </is>
      </c>
      <c r="G5" s="2" t="inlineStr">
        <is>
          <t>العمر</t>
        </is>
      </c>
      <c r="I5" s="2" t="inlineStr">
        <is>
          <t>رقم الملف</t>
        </is>
      </c>
      <c r="J5" s="2" t="inlineStr">
        <is>
          <t>اللقب والاسم</t>
        </is>
      </c>
      <c r="K5" s="2" t="inlineStr">
        <is>
          <t>العمر</t>
        </is>
      </c>
      <c r="M5" s="2" t="inlineStr">
        <is>
          <t>رقم الملف</t>
        </is>
      </c>
      <c r="N5" s="2" t="inlineStr">
        <is>
          <t>اللقب والاسم</t>
        </is>
      </c>
      <c r="O5" s="2" t="inlineStr">
        <is>
          <t>العمر</t>
        </is>
      </c>
      <c r="S5">
        <f>IF(AND(بيانات!$B5&lt;&gt;"",بيانات!$G5="ذكر",بيانات!$H5&lt;13),COUNTA($S$3:S5),"")</f>
        <v/>
      </c>
      <c r="T5">
        <f>IF(AND(بيانات!$B5&lt;&gt;"",بيانات!$G5="أنثى",بيانات!$H5&lt;13),COUNTA($T$3:T5),"")</f>
        <v/>
      </c>
      <c r="U5">
        <f>IF(AND(بيانات!$B5&lt;&gt;"",بيانات!$G5="ذكر",بيانات!$H5&gt;=13),COUNTA($U$3:U5),"")</f>
        <v/>
      </c>
      <c r="V5">
        <f>IF(AND(بيانات!$B5&lt;&gt;"",بيانات!$G5="أنثى",بيانات!$H5&gt;=13),COUNTA($V$3:V5),"")</f>
        <v/>
      </c>
    </row>
    <row r="6">
      <c r="A6" s="41">
        <f>IFERROR(INDEX(بيانات!$A$3:$A$202,MATCH(1,$S$3:$S$202,0)),"")</f>
        <v/>
      </c>
      <c r="B6" s="41">
        <f>IFERROR(INDEX(بيانات!$B$3:$B$202,MATCH(1,$S$3:$S$202,0))&amp;" "&amp;INDEX(بيانات!$C$3:$C$202,MATCH(1,$S$3:$S$202,0)),"")</f>
        <v/>
      </c>
      <c r="C6" s="41">
        <f>IFERROR(INDEX(بيانات!$H$3:$H$202,MATCH(1,$S$3:$S$202,0)),"")</f>
        <v/>
      </c>
      <c r="E6" s="41">
        <f>IFERROR(INDEX(بيانات!$A$3:$A$202,MATCH(1,$T$3:$T$202,0)),"")</f>
        <v/>
      </c>
      <c r="F6" s="41">
        <f>IFERROR(INDEX(بيانات!$B$3:$B$202,MATCH(1,$T$3:$T$202,0))&amp;" "&amp;INDEX(بيانات!$C$3:$C$202,MATCH(1,$T$3:$T$202,0)),"")</f>
        <v/>
      </c>
      <c r="G6" s="41">
        <f>IFERROR(INDEX(بيانات!$H$3:$H$202,MATCH(1,$T$3:$T$202,0)),"")</f>
        <v/>
      </c>
      <c r="I6" s="41">
        <f>IFERROR(INDEX(بيانات!$A$3:$A$202,MATCH(1,$U$3:$U$202,0)),"")</f>
        <v/>
      </c>
      <c r="J6" s="41">
        <f>IFERROR(INDEX(بيانات!$B$3:$B$202,MATCH(1,$U$3:$U$202,0))&amp;" "&amp;INDEX(بيانات!$C$3:$C$202,MATCH(1,$U$3:$U$202,0)),"")</f>
        <v/>
      </c>
      <c r="K6" s="41">
        <f>IFERROR(INDEX(بيانات!$H$3:$H$202,MATCH(1,$U$3:$U$202,0)),"")</f>
        <v/>
      </c>
      <c r="M6" s="41">
        <f>IFERROR(INDEX(بيانات!$A$3:$A$202,MATCH(1,$V$3:$V$202,0)),"")</f>
        <v/>
      </c>
      <c r="N6" s="41">
        <f>IFERROR(INDEX(بيانات!$B$3:$B$202,MATCH(1,$V$3:$V$202,0))&amp;" "&amp;INDEX(بيانات!$C$3:$C$202,MATCH(1,$V$3:$V$202,0)),"")</f>
        <v/>
      </c>
      <c r="O6" s="41">
        <f>IFERROR(INDEX(بيانات!$H$3:$H$202,MATCH(1,$V$3:$V$202,0)),"")</f>
        <v/>
      </c>
      <c r="S6">
        <f>IF(AND(بيانات!$B6&lt;&gt;"",بيانات!$G6="ذكر",بيانات!$H6&lt;13),COUNTA($S$3:S6),"")</f>
        <v/>
      </c>
      <c r="T6">
        <f>IF(AND(بيانات!$B6&lt;&gt;"",بيانات!$G6="أنثى",بيانات!$H6&lt;13),COUNTA($T$3:T6),"")</f>
        <v/>
      </c>
      <c r="U6">
        <f>IF(AND(بيانات!$B6&lt;&gt;"",بيانات!$G6="ذكر",بيانات!$H6&gt;=13),COUNTA($U$3:U6),"")</f>
        <v/>
      </c>
      <c r="V6">
        <f>IF(AND(بيانات!$B6&lt;&gt;"",بيانات!$G6="أنثى",بيانات!$H6&gt;=13),COUNTA($V$3:V6),"")</f>
        <v/>
      </c>
    </row>
    <row r="7">
      <c r="A7" s="41">
        <f>IFERROR(INDEX(بيانات!$A$3:$A$202,MATCH(2,$S$3:$S$202,0)),"")</f>
        <v/>
      </c>
      <c r="B7" s="41">
        <f>IFERROR(INDEX(بيانات!$B$3:$B$202,MATCH(2,$S$3:$S$202,0))&amp;" "&amp;INDEX(بيانات!$C$3:$C$202,MATCH(2,$S$3:$S$202,0)),"")</f>
        <v/>
      </c>
      <c r="C7" s="41">
        <f>IFERROR(INDEX(بيانات!$H$3:$H$202,MATCH(2,$S$3:$S$202,0)),"")</f>
        <v/>
      </c>
      <c r="E7" s="41">
        <f>IFERROR(INDEX(بيانات!$A$3:$A$202,MATCH(2,$T$3:$T$202,0)),"")</f>
        <v/>
      </c>
      <c r="F7" s="41">
        <f>IFERROR(INDEX(بيانات!$B$3:$B$202,MATCH(2,$T$3:$T$202,0))&amp;" "&amp;INDEX(بيانات!$C$3:$C$202,MATCH(2,$T$3:$T$202,0)),"")</f>
        <v/>
      </c>
      <c r="G7" s="41">
        <f>IFERROR(INDEX(بيانات!$H$3:$H$202,MATCH(2,$T$3:$T$202,0)),"")</f>
        <v/>
      </c>
      <c r="I7" s="41">
        <f>IFERROR(INDEX(بيانات!$A$3:$A$202,MATCH(2,$U$3:$U$202,0)),"")</f>
        <v/>
      </c>
      <c r="J7" s="41">
        <f>IFERROR(INDEX(بيانات!$B$3:$B$202,MATCH(2,$U$3:$U$202,0))&amp;" "&amp;INDEX(بيانات!$C$3:$C$202,MATCH(2,$U$3:$U$202,0)),"")</f>
        <v/>
      </c>
      <c r="K7" s="41">
        <f>IFERROR(INDEX(بيانات!$H$3:$H$202,MATCH(2,$U$3:$U$202,0)),"")</f>
        <v/>
      </c>
      <c r="M7" s="41">
        <f>IFERROR(INDEX(بيانات!$A$3:$A$202,MATCH(2,$V$3:$V$202,0)),"")</f>
        <v/>
      </c>
      <c r="N7" s="41">
        <f>IFERROR(INDEX(بيانات!$B$3:$B$202,MATCH(2,$V$3:$V$202,0))&amp;" "&amp;INDEX(بيانات!$C$3:$C$202,MATCH(2,$V$3:$V$202,0)),"")</f>
        <v/>
      </c>
      <c r="O7" s="41">
        <f>IFERROR(INDEX(بيانات!$H$3:$H$202,MATCH(2,$V$3:$V$202,0)),"")</f>
        <v/>
      </c>
      <c r="S7">
        <f>IF(AND(بيانات!$B7&lt;&gt;"",بيانات!$G7="ذكر",بيانات!$H7&lt;13),COUNTA($S$3:S7),"")</f>
        <v/>
      </c>
      <c r="T7">
        <f>IF(AND(بيانات!$B7&lt;&gt;"",بيانات!$G7="أنثى",بيانات!$H7&lt;13),COUNTA($T$3:T7),"")</f>
        <v/>
      </c>
      <c r="U7">
        <f>IF(AND(بيانات!$B7&lt;&gt;"",بيانات!$G7="ذكر",بيانات!$H7&gt;=13),COUNTA($U$3:U7),"")</f>
        <v/>
      </c>
      <c r="V7">
        <f>IF(AND(بيانات!$B7&lt;&gt;"",بيانات!$G7="أنثى",بيانات!$H7&gt;=13),COUNTA($V$3:V7),"")</f>
        <v/>
      </c>
    </row>
    <row r="8">
      <c r="A8" s="41">
        <f>IFERROR(INDEX(بيانات!$A$3:$A$202,MATCH(3,$S$3:$S$202,0)),"")</f>
        <v/>
      </c>
      <c r="B8" s="41">
        <f>IFERROR(INDEX(بيانات!$B$3:$B$202,MATCH(3,$S$3:$S$202,0))&amp;" "&amp;INDEX(بيانات!$C$3:$C$202,MATCH(3,$S$3:$S$202,0)),"")</f>
        <v/>
      </c>
      <c r="C8" s="41">
        <f>IFERROR(INDEX(بيانات!$H$3:$H$202,MATCH(3,$S$3:$S$202,0)),"")</f>
        <v/>
      </c>
      <c r="E8" s="41">
        <f>IFERROR(INDEX(بيانات!$A$3:$A$202,MATCH(3,$T$3:$T$202,0)),"")</f>
        <v/>
      </c>
      <c r="F8" s="41">
        <f>IFERROR(INDEX(بيانات!$B$3:$B$202,MATCH(3,$T$3:$T$202,0))&amp;" "&amp;INDEX(بيانات!$C$3:$C$202,MATCH(3,$T$3:$T$202,0)),"")</f>
        <v/>
      </c>
      <c r="G8" s="41">
        <f>IFERROR(INDEX(بيانات!$H$3:$H$202,MATCH(3,$T$3:$T$202,0)),"")</f>
        <v/>
      </c>
      <c r="I8" s="41">
        <f>IFERROR(INDEX(بيانات!$A$3:$A$202,MATCH(3,$U$3:$U$202,0)),"")</f>
        <v/>
      </c>
      <c r="J8" s="41">
        <f>IFERROR(INDEX(بيانات!$B$3:$B$202,MATCH(3,$U$3:$U$202,0))&amp;" "&amp;INDEX(بيانات!$C$3:$C$202,MATCH(3,$U$3:$U$202,0)),"")</f>
        <v/>
      </c>
      <c r="K8" s="41">
        <f>IFERROR(INDEX(بيانات!$H$3:$H$202,MATCH(3,$U$3:$U$202,0)),"")</f>
        <v/>
      </c>
      <c r="M8" s="41">
        <f>IFERROR(INDEX(بيانات!$A$3:$A$202,MATCH(3,$V$3:$V$202,0)),"")</f>
        <v/>
      </c>
      <c r="N8" s="41">
        <f>IFERROR(INDEX(بيانات!$B$3:$B$202,MATCH(3,$V$3:$V$202,0))&amp;" "&amp;INDEX(بيانات!$C$3:$C$202,MATCH(3,$V$3:$V$202,0)),"")</f>
        <v/>
      </c>
      <c r="O8" s="41">
        <f>IFERROR(INDEX(بيانات!$H$3:$H$202,MATCH(3,$V$3:$V$202,0)),"")</f>
        <v/>
      </c>
      <c r="S8">
        <f>IF(AND(بيانات!$B8&lt;&gt;"",بيانات!$G8="ذكر",بيانات!$H8&lt;13),COUNTA($S$3:S8),"")</f>
        <v/>
      </c>
      <c r="T8">
        <f>IF(AND(بيانات!$B8&lt;&gt;"",بيانات!$G8="أنثى",بيانات!$H8&lt;13),COUNTA($T$3:T8),"")</f>
        <v/>
      </c>
      <c r="U8">
        <f>IF(AND(بيانات!$B8&lt;&gt;"",بيانات!$G8="ذكر",بيانات!$H8&gt;=13),COUNTA($U$3:U8),"")</f>
        <v/>
      </c>
      <c r="V8">
        <f>IF(AND(بيانات!$B8&lt;&gt;"",بيانات!$G8="أنثى",بيانات!$H8&gt;=13),COUNTA($V$3:V8),"")</f>
        <v/>
      </c>
    </row>
    <row r="9">
      <c r="A9" s="41">
        <f>IFERROR(INDEX(بيانات!$A$3:$A$202,MATCH(4,$S$3:$S$202,0)),"")</f>
        <v/>
      </c>
      <c r="B9" s="41">
        <f>IFERROR(INDEX(بيانات!$B$3:$B$202,MATCH(4,$S$3:$S$202,0))&amp;" "&amp;INDEX(بيانات!$C$3:$C$202,MATCH(4,$S$3:$S$202,0)),"")</f>
        <v/>
      </c>
      <c r="C9" s="41">
        <f>IFERROR(INDEX(بيانات!$H$3:$H$202,MATCH(4,$S$3:$S$202,0)),"")</f>
        <v/>
      </c>
      <c r="E9" s="41">
        <f>IFERROR(INDEX(بيانات!$A$3:$A$202,MATCH(4,$T$3:$T$202,0)),"")</f>
        <v/>
      </c>
      <c r="F9" s="41">
        <f>IFERROR(INDEX(بيانات!$B$3:$B$202,MATCH(4,$T$3:$T$202,0))&amp;" "&amp;INDEX(بيانات!$C$3:$C$202,MATCH(4,$T$3:$T$202,0)),"")</f>
        <v/>
      </c>
      <c r="G9" s="41">
        <f>IFERROR(INDEX(بيانات!$H$3:$H$202,MATCH(4,$T$3:$T$202,0)),"")</f>
        <v/>
      </c>
      <c r="I9" s="41">
        <f>IFERROR(INDEX(بيانات!$A$3:$A$202,MATCH(4,$U$3:$U$202,0)),"")</f>
        <v/>
      </c>
      <c r="J9" s="41">
        <f>IFERROR(INDEX(بيانات!$B$3:$B$202,MATCH(4,$U$3:$U$202,0))&amp;" "&amp;INDEX(بيانات!$C$3:$C$202,MATCH(4,$U$3:$U$202,0)),"")</f>
        <v/>
      </c>
      <c r="K9" s="41">
        <f>IFERROR(INDEX(بيانات!$H$3:$H$202,MATCH(4,$U$3:$U$202,0)),"")</f>
        <v/>
      </c>
      <c r="M9" s="41">
        <f>IFERROR(INDEX(بيانات!$A$3:$A$202,MATCH(4,$V$3:$V$202,0)),"")</f>
        <v/>
      </c>
      <c r="N9" s="41">
        <f>IFERROR(INDEX(بيانات!$B$3:$B$202,MATCH(4,$V$3:$V$202,0))&amp;" "&amp;INDEX(بيانات!$C$3:$C$202,MATCH(4,$V$3:$V$202,0)),"")</f>
        <v/>
      </c>
      <c r="O9" s="41">
        <f>IFERROR(INDEX(بيانات!$H$3:$H$202,MATCH(4,$V$3:$V$202,0)),"")</f>
        <v/>
      </c>
      <c r="S9">
        <f>IF(AND(بيانات!$B9&lt;&gt;"",بيانات!$G9="ذكر",بيانات!$H9&lt;13),COUNTA($S$3:S9),"")</f>
        <v/>
      </c>
      <c r="T9">
        <f>IF(AND(بيانات!$B9&lt;&gt;"",بيانات!$G9="أنثى",بيانات!$H9&lt;13),COUNTA($T$3:T9),"")</f>
        <v/>
      </c>
      <c r="U9">
        <f>IF(AND(بيانات!$B9&lt;&gt;"",بيانات!$G9="ذكر",بيانات!$H9&gt;=13),COUNTA($U$3:U9),"")</f>
        <v/>
      </c>
      <c r="V9">
        <f>IF(AND(بيانات!$B9&lt;&gt;"",بيانات!$G9="أنثى",بيانات!$H9&gt;=13),COUNTA($V$3:V9),"")</f>
        <v/>
      </c>
    </row>
    <row r="10">
      <c r="A10" s="41">
        <f>IFERROR(INDEX(بيانات!$A$3:$A$202,MATCH(5,$S$3:$S$202,0)),"")</f>
        <v/>
      </c>
      <c r="B10" s="41">
        <f>IFERROR(INDEX(بيانات!$B$3:$B$202,MATCH(5,$S$3:$S$202,0))&amp;" "&amp;INDEX(بيانات!$C$3:$C$202,MATCH(5,$S$3:$S$202,0)),"")</f>
        <v/>
      </c>
      <c r="C10" s="41">
        <f>IFERROR(INDEX(بيانات!$H$3:$H$202,MATCH(5,$S$3:$S$202,0)),"")</f>
        <v/>
      </c>
      <c r="E10" s="41">
        <f>IFERROR(INDEX(بيانات!$A$3:$A$202,MATCH(5,$T$3:$T$202,0)),"")</f>
        <v/>
      </c>
      <c r="F10" s="41">
        <f>IFERROR(INDEX(بيانات!$B$3:$B$202,MATCH(5,$T$3:$T$202,0))&amp;" "&amp;INDEX(بيانات!$C$3:$C$202,MATCH(5,$T$3:$T$202,0)),"")</f>
        <v/>
      </c>
      <c r="G10" s="41">
        <f>IFERROR(INDEX(بيانات!$H$3:$H$202,MATCH(5,$T$3:$T$202,0)),"")</f>
        <v/>
      </c>
      <c r="I10" s="41">
        <f>IFERROR(INDEX(بيانات!$A$3:$A$202,MATCH(5,$U$3:$U$202,0)),"")</f>
        <v/>
      </c>
      <c r="J10" s="41">
        <f>IFERROR(INDEX(بيانات!$B$3:$B$202,MATCH(5,$U$3:$U$202,0))&amp;" "&amp;INDEX(بيانات!$C$3:$C$202,MATCH(5,$U$3:$U$202,0)),"")</f>
        <v/>
      </c>
      <c r="K10" s="41">
        <f>IFERROR(INDEX(بيانات!$H$3:$H$202,MATCH(5,$U$3:$U$202,0)),"")</f>
        <v/>
      </c>
      <c r="M10" s="41">
        <f>IFERROR(INDEX(بيانات!$A$3:$A$202,MATCH(5,$V$3:$V$202,0)),"")</f>
        <v/>
      </c>
      <c r="N10" s="41">
        <f>IFERROR(INDEX(بيانات!$B$3:$B$202,MATCH(5,$V$3:$V$202,0))&amp;" "&amp;INDEX(بيانات!$C$3:$C$202,MATCH(5,$V$3:$V$202,0)),"")</f>
        <v/>
      </c>
      <c r="O10" s="41">
        <f>IFERROR(INDEX(بيانات!$H$3:$H$202,MATCH(5,$V$3:$V$202,0)),"")</f>
        <v/>
      </c>
      <c r="S10">
        <f>IF(AND(بيانات!$B10&lt;&gt;"",بيانات!$G10="ذكر",بيانات!$H10&lt;13),COUNTA($S$3:S10),"")</f>
        <v/>
      </c>
      <c r="T10">
        <f>IF(AND(بيانات!$B10&lt;&gt;"",بيانات!$G10="أنثى",بيانات!$H10&lt;13),COUNTA($T$3:T10),"")</f>
        <v/>
      </c>
      <c r="U10">
        <f>IF(AND(بيانات!$B10&lt;&gt;"",بيانات!$G10="ذكر",بيانات!$H10&gt;=13),COUNTA($U$3:U10),"")</f>
        <v/>
      </c>
      <c r="V10">
        <f>IF(AND(بيانات!$B10&lt;&gt;"",بيانات!$G10="أنثى",بيانات!$H10&gt;=13),COUNTA($V$3:V10),"")</f>
        <v/>
      </c>
    </row>
    <row r="11">
      <c r="A11" s="41">
        <f>IFERROR(INDEX(بيانات!$A$3:$A$202,MATCH(6,$S$3:$S$202,0)),"")</f>
        <v/>
      </c>
      <c r="B11" s="41">
        <f>IFERROR(INDEX(بيانات!$B$3:$B$202,MATCH(6,$S$3:$S$202,0))&amp;" "&amp;INDEX(بيانات!$C$3:$C$202,MATCH(6,$S$3:$S$202,0)),"")</f>
        <v/>
      </c>
      <c r="C11" s="41">
        <f>IFERROR(INDEX(بيانات!$H$3:$H$202,MATCH(6,$S$3:$S$202,0)),"")</f>
        <v/>
      </c>
      <c r="E11" s="41">
        <f>IFERROR(INDEX(بيانات!$A$3:$A$202,MATCH(6,$T$3:$T$202,0)),"")</f>
        <v/>
      </c>
      <c r="F11" s="41">
        <f>IFERROR(INDEX(بيانات!$B$3:$B$202,MATCH(6,$T$3:$T$202,0))&amp;" "&amp;INDEX(بيانات!$C$3:$C$202,MATCH(6,$T$3:$T$202,0)),"")</f>
        <v/>
      </c>
      <c r="G11" s="41">
        <f>IFERROR(INDEX(بيانات!$H$3:$H$202,MATCH(6,$T$3:$T$202,0)),"")</f>
        <v/>
      </c>
      <c r="I11" s="41">
        <f>IFERROR(INDEX(بيانات!$A$3:$A$202,MATCH(6,$U$3:$U$202,0)),"")</f>
        <v/>
      </c>
      <c r="J11" s="41">
        <f>IFERROR(INDEX(بيانات!$B$3:$B$202,MATCH(6,$U$3:$U$202,0))&amp;" "&amp;INDEX(بيانات!$C$3:$C$202,MATCH(6,$U$3:$U$202,0)),"")</f>
        <v/>
      </c>
      <c r="K11" s="41">
        <f>IFERROR(INDEX(بيانات!$H$3:$H$202,MATCH(6,$U$3:$U$202,0)),"")</f>
        <v/>
      </c>
      <c r="M11" s="41">
        <f>IFERROR(INDEX(بيانات!$A$3:$A$202,MATCH(6,$V$3:$V$202,0)),"")</f>
        <v/>
      </c>
      <c r="N11" s="41">
        <f>IFERROR(INDEX(بيانات!$B$3:$B$202,MATCH(6,$V$3:$V$202,0))&amp;" "&amp;INDEX(بيانات!$C$3:$C$202,MATCH(6,$V$3:$V$202,0)),"")</f>
        <v/>
      </c>
      <c r="O11" s="41">
        <f>IFERROR(INDEX(بيانات!$H$3:$H$202,MATCH(6,$V$3:$V$202,0)),"")</f>
        <v/>
      </c>
      <c r="S11">
        <f>IF(AND(بيانات!$B11&lt;&gt;"",بيانات!$G11="ذكر",بيانات!$H11&lt;13),COUNTA($S$3:S11),"")</f>
        <v/>
      </c>
      <c r="T11">
        <f>IF(AND(بيانات!$B11&lt;&gt;"",بيانات!$G11="أنثى",بيانات!$H11&lt;13),COUNTA($T$3:T11),"")</f>
        <v/>
      </c>
      <c r="U11">
        <f>IF(AND(بيانات!$B11&lt;&gt;"",بيانات!$G11="ذكر",بيانات!$H11&gt;=13),COUNTA($U$3:U11),"")</f>
        <v/>
      </c>
      <c r="V11">
        <f>IF(AND(بيانات!$B11&lt;&gt;"",بيانات!$G11="أنثى",بيانات!$H11&gt;=13),COUNTA($V$3:V11),"")</f>
        <v/>
      </c>
    </row>
    <row r="12">
      <c r="A12" s="41">
        <f>IFERROR(INDEX(بيانات!$A$3:$A$202,MATCH(7,$S$3:$S$202,0)),"")</f>
        <v/>
      </c>
      <c r="B12" s="41">
        <f>IFERROR(INDEX(بيانات!$B$3:$B$202,MATCH(7,$S$3:$S$202,0))&amp;" "&amp;INDEX(بيانات!$C$3:$C$202,MATCH(7,$S$3:$S$202,0)),"")</f>
        <v/>
      </c>
      <c r="C12" s="41">
        <f>IFERROR(INDEX(بيانات!$H$3:$H$202,MATCH(7,$S$3:$S$202,0)),"")</f>
        <v/>
      </c>
      <c r="E12" s="41">
        <f>IFERROR(INDEX(بيانات!$A$3:$A$202,MATCH(7,$T$3:$T$202,0)),"")</f>
        <v/>
      </c>
      <c r="F12" s="41">
        <f>IFERROR(INDEX(بيانات!$B$3:$B$202,MATCH(7,$T$3:$T$202,0))&amp;" "&amp;INDEX(بيانات!$C$3:$C$202,MATCH(7,$T$3:$T$202,0)),"")</f>
        <v/>
      </c>
      <c r="G12" s="41">
        <f>IFERROR(INDEX(بيانات!$H$3:$H$202,MATCH(7,$T$3:$T$202,0)),"")</f>
        <v/>
      </c>
      <c r="I12" s="41">
        <f>IFERROR(INDEX(بيانات!$A$3:$A$202,MATCH(7,$U$3:$U$202,0)),"")</f>
        <v/>
      </c>
      <c r="J12" s="41">
        <f>IFERROR(INDEX(بيانات!$B$3:$B$202,MATCH(7,$U$3:$U$202,0))&amp;" "&amp;INDEX(بيانات!$C$3:$C$202,MATCH(7,$U$3:$U$202,0)),"")</f>
        <v/>
      </c>
      <c r="K12" s="41">
        <f>IFERROR(INDEX(بيانات!$H$3:$H$202,MATCH(7,$U$3:$U$202,0)),"")</f>
        <v/>
      </c>
      <c r="M12" s="41">
        <f>IFERROR(INDEX(بيانات!$A$3:$A$202,MATCH(7,$V$3:$V$202,0)),"")</f>
        <v/>
      </c>
      <c r="N12" s="41">
        <f>IFERROR(INDEX(بيانات!$B$3:$B$202,MATCH(7,$V$3:$V$202,0))&amp;" "&amp;INDEX(بيانات!$C$3:$C$202,MATCH(7,$V$3:$V$202,0)),"")</f>
        <v/>
      </c>
      <c r="O12" s="41">
        <f>IFERROR(INDEX(بيانات!$H$3:$H$202,MATCH(7,$V$3:$V$202,0)),"")</f>
        <v/>
      </c>
      <c r="S12">
        <f>IF(AND(بيانات!$B12&lt;&gt;"",بيانات!$G12="ذكر",بيانات!$H12&lt;13),COUNTA($S$3:S12),"")</f>
        <v/>
      </c>
      <c r="T12">
        <f>IF(AND(بيانات!$B12&lt;&gt;"",بيانات!$G12="أنثى",بيانات!$H12&lt;13),COUNTA($T$3:T12),"")</f>
        <v/>
      </c>
      <c r="U12">
        <f>IF(AND(بيانات!$B12&lt;&gt;"",بيانات!$G12="ذكر",بيانات!$H12&gt;=13),COUNTA($U$3:U12),"")</f>
        <v/>
      </c>
      <c r="V12">
        <f>IF(AND(بيانات!$B12&lt;&gt;"",بيانات!$G12="أنثى",بيانات!$H12&gt;=13),COUNTA($V$3:V12),"")</f>
        <v/>
      </c>
    </row>
    <row r="13">
      <c r="A13" s="41">
        <f>IFERROR(INDEX(بيانات!$A$3:$A$202,MATCH(8,$S$3:$S$202,0)),"")</f>
        <v/>
      </c>
      <c r="B13" s="41">
        <f>IFERROR(INDEX(بيانات!$B$3:$B$202,MATCH(8,$S$3:$S$202,0))&amp;" "&amp;INDEX(بيانات!$C$3:$C$202,MATCH(8,$S$3:$S$202,0)),"")</f>
        <v/>
      </c>
      <c r="C13" s="41">
        <f>IFERROR(INDEX(بيانات!$H$3:$H$202,MATCH(8,$S$3:$S$202,0)),"")</f>
        <v/>
      </c>
      <c r="E13" s="41">
        <f>IFERROR(INDEX(بيانات!$A$3:$A$202,MATCH(8,$T$3:$T$202,0)),"")</f>
        <v/>
      </c>
      <c r="F13" s="41">
        <f>IFERROR(INDEX(بيانات!$B$3:$B$202,MATCH(8,$T$3:$T$202,0))&amp;" "&amp;INDEX(بيانات!$C$3:$C$202,MATCH(8,$T$3:$T$202,0)),"")</f>
        <v/>
      </c>
      <c r="G13" s="41">
        <f>IFERROR(INDEX(بيانات!$H$3:$H$202,MATCH(8,$T$3:$T$202,0)),"")</f>
        <v/>
      </c>
      <c r="I13" s="41">
        <f>IFERROR(INDEX(بيانات!$A$3:$A$202,MATCH(8,$U$3:$U$202,0)),"")</f>
        <v/>
      </c>
      <c r="J13" s="41">
        <f>IFERROR(INDEX(بيانات!$B$3:$B$202,MATCH(8,$U$3:$U$202,0))&amp;" "&amp;INDEX(بيانات!$C$3:$C$202,MATCH(8,$U$3:$U$202,0)),"")</f>
        <v/>
      </c>
      <c r="K13" s="41">
        <f>IFERROR(INDEX(بيانات!$H$3:$H$202,MATCH(8,$U$3:$U$202,0)),"")</f>
        <v/>
      </c>
      <c r="M13" s="41">
        <f>IFERROR(INDEX(بيانات!$A$3:$A$202,MATCH(8,$V$3:$V$202,0)),"")</f>
        <v/>
      </c>
      <c r="N13" s="41">
        <f>IFERROR(INDEX(بيانات!$B$3:$B$202,MATCH(8,$V$3:$V$202,0))&amp;" "&amp;INDEX(بيانات!$C$3:$C$202,MATCH(8,$V$3:$V$202,0)),"")</f>
        <v/>
      </c>
      <c r="O13" s="41">
        <f>IFERROR(INDEX(بيانات!$H$3:$H$202,MATCH(8,$V$3:$V$202,0)),"")</f>
        <v/>
      </c>
      <c r="S13">
        <f>IF(AND(بيانات!$B13&lt;&gt;"",بيانات!$G13="ذكر",بيانات!$H13&lt;13),COUNTA($S$3:S13),"")</f>
        <v/>
      </c>
      <c r="T13">
        <f>IF(AND(بيانات!$B13&lt;&gt;"",بيانات!$G13="أنثى",بيانات!$H13&lt;13),COUNTA($T$3:T13),"")</f>
        <v/>
      </c>
      <c r="U13">
        <f>IF(AND(بيانات!$B13&lt;&gt;"",بيانات!$G13="ذكر",بيانات!$H13&gt;=13),COUNTA($U$3:U13),"")</f>
        <v/>
      </c>
      <c r="V13">
        <f>IF(AND(بيانات!$B13&lt;&gt;"",بيانات!$G13="أنثى",بيانات!$H13&gt;=13),COUNTA($V$3:V13),"")</f>
        <v/>
      </c>
    </row>
    <row r="14">
      <c r="A14" s="41">
        <f>IFERROR(INDEX(بيانات!$A$3:$A$202,MATCH(9,$S$3:$S$202,0)),"")</f>
        <v/>
      </c>
      <c r="B14" s="41">
        <f>IFERROR(INDEX(بيانات!$B$3:$B$202,MATCH(9,$S$3:$S$202,0))&amp;" "&amp;INDEX(بيانات!$C$3:$C$202,MATCH(9,$S$3:$S$202,0)),"")</f>
        <v/>
      </c>
      <c r="C14" s="41">
        <f>IFERROR(INDEX(بيانات!$H$3:$H$202,MATCH(9,$S$3:$S$202,0)),"")</f>
        <v/>
      </c>
      <c r="E14" s="41">
        <f>IFERROR(INDEX(بيانات!$A$3:$A$202,MATCH(9,$T$3:$T$202,0)),"")</f>
        <v/>
      </c>
      <c r="F14" s="41">
        <f>IFERROR(INDEX(بيانات!$B$3:$B$202,MATCH(9,$T$3:$T$202,0))&amp;" "&amp;INDEX(بيانات!$C$3:$C$202,MATCH(9,$T$3:$T$202,0)),"")</f>
        <v/>
      </c>
      <c r="G14" s="41">
        <f>IFERROR(INDEX(بيانات!$H$3:$H$202,MATCH(9,$T$3:$T$202,0)),"")</f>
        <v/>
      </c>
      <c r="I14" s="41">
        <f>IFERROR(INDEX(بيانات!$A$3:$A$202,MATCH(9,$U$3:$U$202,0)),"")</f>
        <v/>
      </c>
      <c r="J14" s="41">
        <f>IFERROR(INDEX(بيانات!$B$3:$B$202,MATCH(9,$U$3:$U$202,0))&amp;" "&amp;INDEX(بيانات!$C$3:$C$202,MATCH(9,$U$3:$U$202,0)),"")</f>
        <v/>
      </c>
      <c r="K14" s="41">
        <f>IFERROR(INDEX(بيانات!$H$3:$H$202,MATCH(9,$U$3:$U$202,0)),"")</f>
        <v/>
      </c>
      <c r="M14" s="41">
        <f>IFERROR(INDEX(بيانات!$A$3:$A$202,MATCH(9,$V$3:$V$202,0)),"")</f>
        <v/>
      </c>
      <c r="N14" s="41">
        <f>IFERROR(INDEX(بيانات!$B$3:$B$202,MATCH(9,$V$3:$V$202,0))&amp;" "&amp;INDEX(بيانات!$C$3:$C$202,MATCH(9,$V$3:$V$202,0)),"")</f>
        <v/>
      </c>
      <c r="O14" s="41">
        <f>IFERROR(INDEX(بيانات!$H$3:$H$202,MATCH(9,$V$3:$V$202,0)),"")</f>
        <v/>
      </c>
      <c r="S14">
        <f>IF(AND(بيانات!$B14&lt;&gt;"",بيانات!$G14="ذكر",بيانات!$H14&lt;13),COUNTA($S$3:S14),"")</f>
        <v/>
      </c>
      <c r="T14">
        <f>IF(AND(بيانات!$B14&lt;&gt;"",بيانات!$G14="أنثى",بيانات!$H14&lt;13),COUNTA($T$3:T14),"")</f>
        <v/>
      </c>
      <c r="U14">
        <f>IF(AND(بيانات!$B14&lt;&gt;"",بيانات!$G14="ذكر",بيانات!$H14&gt;=13),COUNTA($U$3:U14),"")</f>
        <v/>
      </c>
      <c r="V14">
        <f>IF(AND(بيانات!$B14&lt;&gt;"",بيانات!$G14="أنثى",بيانات!$H14&gt;=13),COUNTA($V$3:V14),"")</f>
        <v/>
      </c>
    </row>
    <row r="15">
      <c r="A15" s="41">
        <f>IFERROR(INDEX(بيانات!$A$3:$A$202,MATCH(10,$S$3:$S$202,0)),"")</f>
        <v/>
      </c>
      <c r="B15" s="41">
        <f>IFERROR(INDEX(بيانات!$B$3:$B$202,MATCH(10,$S$3:$S$202,0))&amp;" "&amp;INDEX(بيانات!$C$3:$C$202,MATCH(10,$S$3:$S$202,0)),"")</f>
        <v/>
      </c>
      <c r="C15" s="41">
        <f>IFERROR(INDEX(بيانات!$H$3:$H$202,MATCH(10,$S$3:$S$202,0)),"")</f>
        <v/>
      </c>
      <c r="E15" s="41">
        <f>IFERROR(INDEX(بيانات!$A$3:$A$202,MATCH(10,$T$3:$T$202,0)),"")</f>
        <v/>
      </c>
      <c r="F15" s="41">
        <f>IFERROR(INDEX(بيانات!$B$3:$B$202,MATCH(10,$T$3:$T$202,0))&amp;" "&amp;INDEX(بيانات!$C$3:$C$202,MATCH(10,$T$3:$T$202,0)),"")</f>
        <v/>
      </c>
      <c r="G15" s="41">
        <f>IFERROR(INDEX(بيانات!$H$3:$H$202,MATCH(10,$T$3:$T$202,0)),"")</f>
        <v/>
      </c>
      <c r="I15" s="41">
        <f>IFERROR(INDEX(بيانات!$A$3:$A$202,MATCH(10,$U$3:$U$202,0)),"")</f>
        <v/>
      </c>
      <c r="J15" s="41">
        <f>IFERROR(INDEX(بيانات!$B$3:$B$202,MATCH(10,$U$3:$U$202,0))&amp;" "&amp;INDEX(بيانات!$C$3:$C$202,MATCH(10,$U$3:$U$202,0)),"")</f>
        <v/>
      </c>
      <c r="K15" s="41">
        <f>IFERROR(INDEX(بيانات!$H$3:$H$202,MATCH(10,$U$3:$U$202,0)),"")</f>
        <v/>
      </c>
      <c r="M15" s="41">
        <f>IFERROR(INDEX(بيانات!$A$3:$A$202,MATCH(10,$V$3:$V$202,0)),"")</f>
        <v/>
      </c>
      <c r="N15" s="41">
        <f>IFERROR(INDEX(بيانات!$B$3:$B$202,MATCH(10,$V$3:$V$202,0))&amp;" "&amp;INDEX(بيانات!$C$3:$C$202,MATCH(10,$V$3:$V$202,0)),"")</f>
        <v/>
      </c>
      <c r="O15" s="41">
        <f>IFERROR(INDEX(بيانات!$H$3:$H$202,MATCH(10,$V$3:$V$202,0)),"")</f>
        <v/>
      </c>
      <c r="S15">
        <f>IF(AND(بيانات!$B15&lt;&gt;"",بيانات!$G15="ذكر",بيانات!$H15&lt;13),COUNTA($S$3:S15),"")</f>
        <v/>
      </c>
      <c r="T15">
        <f>IF(AND(بيانات!$B15&lt;&gt;"",بيانات!$G15="أنثى",بيانات!$H15&lt;13),COUNTA($T$3:T15),"")</f>
        <v/>
      </c>
      <c r="U15">
        <f>IF(AND(بيانات!$B15&lt;&gt;"",بيانات!$G15="ذكر",بيانات!$H15&gt;=13),COUNTA($U$3:U15),"")</f>
        <v/>
      </c>
      <c r="V15">
        <f>IF(AND(بيانات!$B15&lt;&gt;"",بيانات!$G15="أنثى",بيانات!$H15&gt;=13),COUNTA($V$3:V15),"")</f>
        <v/>
      </c>
    </row>
    <row r="16">
      <c r="A16" s="41">
        <f>IFERROR(INDEX(بيانات!$A$3:$A$202,MATCH(11,$S$3:$S$202,0)),"")</f>
        <v/>
      </c>
      <c r="B16" s="41">
        <f>IFERROR(INDEX(بيانات!$B$3:$B$202,MATCH(11,$S$3:$S$202,0))&amp;" "&amp;INDEX(بيانات!$C$3:$C$202,MATCH(11,$S$3:$S$202,0)),"")</f>
        <v/>
      </c>
      <c r="C16" s="41">
        <f>IFERROR(INDEX(بيانات!$H$3:$H$202,MATCH(11,$S$3:$S$202,0)),"")</f>
        <v/>
      </c>
      <c r="E16" s="41">
        <f>IFERROR(INDEX(بيانات!$A$3:$A$202,MATCH(11,$T$3:$T$202,0)),"")</f>
        <v/>
      </c>
      <c r="F16" s="41">
        <f>IFERROR(INDEX(بيانات!$B$3:$B$202,MATCH(11,$T$3:$T$202,0))&amp;" "&amp;INDEX(بيانات!$C$3:$C$202,MATCH(11,$T$3:$T$202,0)),"")</f>
        <v/>
      </c>
      <c r="G16" s="41">
        <f>IFERROR(INDEX(بيانات!$H$3:$H$202,MATCH(11,$T$3:$T$202,0)),"")</f>
        <v/>
      </c>
      <c r="I16" s="41">
        <f>IFERROR(INDEX(بيانات!$A$3:$A$202,MATCH(11,$U$3:$U$202,0)),"")</f>
        <v/>
      </c>
      <c r="J16" s="41">
        <f>IFERROR(INDEX(بيانات!$B$3:$B$202,MATCH(11,$U$3:$U$202,0))&amp;" "&amp;INDEX(بيانات!$C$3:$C$202,MATCH(11,$U$3:$U$202,0)),"")</f>
        <v/>
      </c>
      <c r="K16" s="41">
        <f>IFERROR(INDEX(بيانات!$H$3:$H$202,MATCH(11,$U$3:$U$202,0)),"")</f>
        <v/>
      </c>
      <c r="M16" s="41">
        <f>IFERROR(INDEX(بيانات!$A$3:$A$202,MATCH(11,$V$3:$V$202,0)),"")</f>
        <v/>
      </c>
      <c r="N16" s="41">
        <f>IFERROR(INDEX(بيانات!$B$3:$B$202,MATCH(11,$V$3:$V$202,0))&amp;" "&amp;INDEX(بيانات!$C$3:$C$202,MATCH(11,$V$3:$V$202,0)),"")</f>
        <v/>
      </c>
      <c r="O16" s="41">
        <f>IFERROR(INDEX(بيانات!$H$3:$H$202,MATCH(11,$V$3:$V$202,0)),"")</f>
        <v/>
      </c>
      <c r="S16">
        <f>IF(AND(بيانات!$B16&lt;&gt;"",بيانات!$G16="ذكر",بيانات!$H16&lt;13),COUNTA($S$3:S16),"")</f>
        <v/>
      </c>
      <c r="T16">
        <f>IF(AND(بيانات!$B16&lt;&gt;"",بيانات!$G16="أنثى",بيانات!$H16&lt;13),COUNTA($T$3:T16),"")</f>
        <v/>
      </c>
      <c r="U16">
        <f>IF(AND(بيانات!$B16&lt;&gt;"",بيانات!$G16="ذكر",بيانات!$H16&gt;=13),COUNTA($U$3:U16),"")</f>
        <v/>
      </c>
      <c r="V16">
        <f>IF(AND(بيانات!$B16&lt;&gt;"",بيانات!$G16="أنثى",بيانات!$H16&gt;=13),COUNTA($V$3:V16),"")</f>
        <v/>
      </c>
    </row>
    <row r="17">
      <c r="A17" s="41">
        <f>IFERROR(INDEX(بيانات!$A$3:$A$202,MATCH(12,$S$3:$S$202,0)),"")</f>
        <v/>
      </c>
      <c r="B17" s="41">
        <f>IFERROR(INDEX(بيانات!$B$3:$B$202,MATCH(12,$S$3:$S$202,0))&amp;" "&amp;INDEX(بيانات!$C$3:$C$202,MATCH(12,$S$3:$S$202,0)),"")</f>
        <v/>
      </c>
      <c r="C17" s="41">
        <f>IFERROR(INDEX(بيانات!$H$3:$H$202,MATCH(12,$S$3:$S$202,0)),"")</f>
        <v/>
      </c>
      <c r="E17" s="41">
        <f>IFERROR(INDEX(بيانات!$A$3:$A$202,MATCH(12,$T$3:$T$202,0)),"")</f>
        <v/>
      </c>
      <c r="F17" s="41">
        <f>IFERROR(INDEX(بيانات!$B$3:$B$202,MATCH(12,$T$3:$T$202,0))&amp;" "&amp;INDEX(بيانات!$C$3:$C$202,MATCH(12,$T$3:$T$202,0)),"")</f>
        <v/>
      </c>
      <c r="G17" s="41">
        <f>IFERROR(INDEX(بيانات!$H$3:$H$202,MATCH(12,$T$3:$T$202,0)),"")</f>
        <v/>
      </c>
      <c r="I17" s="41">
        <f>IFERROR(INDEX(بيانات!$A$3:$A$202,MATCH(12,$U$3:$U$202,0)),"")</f>
        <v/>
      </c>
      <c r="J17" s="41">
        <f>IFERROR(INDEX(بيانات!$B$3:$B$202,MATCH(12,$U$3:$U$202,0))&amp;" "&amp;INDEX(بيانات!$C$3:$C$202,MATCH(12,$U$3:$U$202,0)),"")</f>
        <v/>
      </c>
      <c r="K17" s="41">
        <f>IFERROR(INDEX(بيانات!$H$3:$H$202,MATCH(12,$U$3:$U$202,0)),"")</f>
        <v/>
      </c>
      <c r="M17" s="41">
        <f>IFERROR(INDEX(بيانات!$A$3:$A$202,MATCH(12,$V$3:$V$202,0)),"")</f>
        <v/>
      </c>
      <c r="N17" s="41">
        <f>IFERROR(INDEX(بيانات!$B$3:$B$202,MATCH(12,$V$3:$V$202,0))&amp;" "&amp;INDEX(بيانات!$C$3:$C$202,MATCH(12,$V$3:$V$202,0)),"")</f>
        <v/>
      </c>
      <c r="O17" s="41">
        <f>IFERROR(INDEX(بيانات!$H$3:$H$202,MATCH(12,$V$3:$V$202,0)),"")</f>
        <v/>
      </c>
      <c r="S17">
        <f>IF(AND(بيانات!$B17&lt;&gt;"",بيانات!$G17="ذكر",بيانات!$H17&lt;13),COUNTA($S$3:S17),"")</f>
        <v/>
      </c>
      <c r="T17">
        <f>IF(AND(بيانات!$B17&lt;&gt;"",بيانات!$G17="أنثى",بيانات!$H17&lt;13),COUNTA($T$3:T17),"")</f>
        <v/>
      </c>
      <c r="U17">
        <f>IF(AND(بيانات!$B17&lt;&gt;"",بيانات!$G17="ذكر",بيانات!$H17&gt;=13),COUNTA($U$3:U17),"")</f>
        <v/>
      </c>
      <c r="V17">
        <f>IF(AND(بيانات!$B17&lt;&gt;"",بيانات!$G17="أنثى",بيانات!$H17&gt;=13),COUNTA($V$3:V17),"")</f>
        <v/>
      </c>
    </row>
    <row r="18">
      <c r="A18" s="41">
        <f>IFERROR(INDEX(بيانات!$A$3:$A$202,MATCH(13,$S$3:$S$202,0)),"")</f>
        <v/>
      </c>
      <c r="B18" s="41">
        <f>IFERROR(INDEX(بيانات!$B$3:$B$202,MATCH(13,$S$3:$S$202,0))&amp;" "&amp;INDEX(بيانات!$C$3:$C$202,MATCH(13,$S$3:$S$202,0)),"")</f>
        <v/>
      </c>
      <c r="C18" s="41">
        <f>IFERROR(INDEX(بيانات!$H$3:$H$202,MATCH(13,$S$3:$S$202,0)),"")</f>
        <v/>
      </c>
      <c r="E18" s="41">
        <f>IFERROR(INDEX(بيانات!$A$3:$A$202,MATCH(13,$T$3:$T$202,0)),"")</f>
        <v/>
      </c>
      <c r="F18" s="41">
        <f>IFERROR(INDEX(بيانات!$B$3:$B$202,MATCH(13,$T$3:$T$202,0))&amp;" "&amp;INDEX(بيانات!$C$3:$C$202,MATCH(13,$T$3:$T$202,0)),"")</f>
        <v/>
      </c>
      <c r="G18" s="41">
        <f>IFERROR(INDEX(بيانات!$H$3:$H$202,MATCH(13,$T$3:$T$202,0)),"")</f>
        <v/>
      </c>
      <c r="I18" s="41">
        <f>IFERROR(INDEX(بيانات!$A$3:$A$202,MATCH(13,$U$3:$U$202,0)),"")</f>
        <v/>
      </c>
      <c r="J18" s="41">
        <f>IFERROR(INDEX(بيانات!$B$3:$B$202,MATCH(13,$U$3:$U$202,0))&amp;" "&amp;INDEX(بيانات!$C$3:$C$202,MATCH(13,$U$3:$U$202,0)),"")</f>
        <v/>
      </c>
      <c r="K18" s="41">
        <f>IFERROR(INDEX(بيانات!$H$3:$H$202,MATCH(13,$U$3:$U$202,0)),"")</f>
        <v/>
      </c>
      <c r="M18" s="41">
        <f>IFERROR(INDEX(بيانات!$A$3:$A$202,MATCH(13,$V$3:$V$202,0)),"")</f>
        <v/>
      </c>
      <c r="N18" s="41">
        <f>IFERROR(INDEX(بيانات!$B$3:$B$202,MATCH(13,$V$3:$V$202,0))&amp;" "&amp;INDEX(بيانات!$C$3:$C$202,MATCH(13,$V$3:$V$202,0)),"")</f>
        <v/>
      </c>
      <c r="O18" s="41">
        <f>IFERROR(INDEX(بيانات!$H$3:$H$202,MATCH(13,$V$3:$V$202,0)),"")</f>
        <v/>
      </c>
      <c r="S18">
        <f>IF(AND(بيانات!$B18&lt;&gt;"",بيانات!$G18="ذكر",بيانات!$H18&lt;13),COUNTA($S$3:S18),"")</f>
        <v/>
      </c>
      <c r="T18">
        <f>IF(AND(بيانات!$B18&lt;&gt;"",بيانات!$G18="أنثى",بيانات!$H18&lt;13),COUNTA($T$3:T18),"")</f>
        <v/>
      </c>
      <c r="U18">
        <f>IF(AND(بيانات!$B18&lt;&gt;"",بيانات!$G18="ذكر",بيانات!$H18&gt;=13),COUNTA($U$3:U18),"")</f>
        <v/>
      </c>
      <c r="V18">
        <f>IF(AND(بيانات!$B18&lt;&gt;"",بيانات!$G18="أنثى",بيانات!$H18&gt;=13),COUNTA($V$3:V18),"")</f>
        <v/>
      </c>
    </row>
    <row r="19">
      <c r="A19" s="41">
        <f>IFERROR(INDEX(بيانات!$A$3:$A$202,MATCH(14,$S$3:$S$202,0)),"")</f>
        <v/>
      </c>
      <c r="B19" s="41">
        <f>IFERROR(INDEX(بيانات!$B$3:$B$202,MATCH(14,$S$3:$S$202,0))&amp;" "&amp;INDEX(بيانات!$C$3:$C$202,MATCH(14,$S$3:$S$202,0)),"")</f>
        <v/>
      </c>
      <c r="C19" s="41">
        <f>IFERROR(INDEX(بيانات!$H$3:$H$202,MATCH(14,$S$3:$S$202,0)),"")</f>
        <v/>
      </c>
      <c r="E19" s="41">
        <f>IFERROR(INDEX(بيانات!$A$3:$A$202,MATCH(14,$T$3:$T$202,0)),"")</f>
        <v/>
      </c>
      <c r="F19" s="41">
        <f>IFERROR(INDEX(بيانات!$B$3:$B$202,MATCH(14,$T$3:$T$202,0))&amp;" "&amp;INDEX(بيانات!$C$3:$C$202,MATCH(14,$T$3:$T$202,0)),"")</f>
        <v/>
      </c>
      <c r="G19" s="41">
        <f>IFERROR(INDEX(بيانات!$H$3:$H$202,MATCH(14,$T$3:$T$202,0)),"")</f>
        <v/>
      </c>
      <c r="I19" s="41">
        <f>IFERROR(INDEX(بيانات!$A$3:$A$202,MATCH(14,$U$3:$U$202,0)),"")</f>
        <v/>
      </c>
      <c r="J19" s="41">
        <f>IFERROR(INDEX(بيانات!$B$3:$B$202,MATCH(14,$U$3:$U$202,0))&amp;" "&amp;INDEX(بيانات!$C$3:$C$202,MATCH(14,$U$3:$U$202,0)),"")</f>
        <v/>
      </c>
      <c r="K19" s="41">
        <f>IFERROR(INDEX(بيانات!$H$3:$H$202,MATCH(14,$U$3:$U$202,0)),"")</f>
        <v/>
      </c>
      <c r="M19" s="41">
        <f>IFERROR(INDEX(بيانات!$A$3:$A$202,MATCH(14,$V$3:$V$202,0)),"")</f>
        <v/>
      </c>
      <c r="N19" s="41">
        <f>IFERROR(INDEX(بيانات!$B$3:$B$202,MATCH(14,$V$3:$V$202,0))&amp;" "&amp;INDEX(بيانات!$C$3:$C$202,MATCH(14,$V$3:$V$202,0)),"")</f>
        <v/>
      </c>
      <c r="O19" s="41">
        <f>IFERROR(INDEX(بيانات!$H$3:$H$202,MATCH(14,$V$3:$V$202,0)),"")</f>
        <v/>
      </c>
      <c r="S19">
        <f>IF(AND(بيانات!$B19&lt;&gt;"",بيانات!$G19="ذكر",بيانات!$H19&lt;13),COUNTA($S$3:S19),"")</f>
        <v/>
      </c>
      <c r="T19">
        <f>IF(AND(بيانات!$B19&lt;&gt;"",بيانات!$G19="أنثى",بيانات!$H19&lt;13),COUNTA($T$3:T19),"")</f>
        <v/>
      </c>
      <c r="U19">
        <f>IF(AND(بيانات!$B19&lt;&gt;"",بيانات!$G19="ذكر",بيانات!$H19&gt;=13),COUNTA($U$3:U19),"")</f>
        <v/>
      </c>
      <c r="V19">
        <f>IF(AND(بيانات!$B19&lt;&gt;"",بيانات!$G19="أنثى",بيانات!$H19&gt;=13),COUNTA($V$3:V19),"")</f>
        <v/>
      </c>
    </row>
    <row r="20">
      <c r="A20" s="41">
        <f>IFERROR(INDEX(بيانات!$A$3:$A$202,MATCH(15,$S$3:$S$202,0)),"")</f>
        <v/>
      </c>
      <c r="B20" s="41">
        <f>IFERROR(INDEX(بيانات!$B$3:$B$202,MATCH(15,$S$3:$S$202,0))&amp;" "&amp;INDEX(بيانات!$C$3:$C$202,MATCH(15,$S$3:$S$202,0)),"")</f>
        <v/>
      </c>
      <c r="C20" s="41">
        <f>IFERROR(INDEX(بيانات!$H$3:$H$202,MATCH(15,$S$3:$S$202,0)),"")</f>
        <v/>
      </c>
      <c r="E20" s="41">
        <f>IFERROR(INDEX(بيانات!$A$3:$A$202,MATCH(15,$T$3:$T$202,0)),"")</f>
        <v/>
      </c>
      <c r="F20" s="41">
        <f>IFERROR(INDEX(بيانات!$B$3:$B$202,MATCH(15,$T$3:$T$202,0))&amp;" "&amp;INDEX(بيانات!$C$3:$C$202,MATCH(15,$T$3:$T$202,0)),"")</f>
        <v/>
      </c>
      <c r="G20" s="41">
        <f>IFERROR(INDEX(بيانات!$H$3:$H$202,MATCH(15,$T$3:$T$202,0)),"")</f>
        <v/>
      </c>
      <c r="I20" s="41">
        <f>IFERROR(INDEX(بيانات!$A$3:$A$202,MATCH(15,$U$3:$U$202,0)),"")</f>
        <v/>
      </c>
      <c r="J20" s="41">
        <f>IFERROR(INDEX(بيانات!$B$3:$B$202,MATCH(15,$U$3:$U$202,0))&amp;" "&amp;INDEX(بيانات!$C$3:$C$202,MATCH(15,$U$3:$U$202,0)),"")</f>
        <v/>
      </c>
      <c r="K20" s="41">
        <f>IFERROR(INDEX(بيانات!$H$3:$H$202,MATCH(15,$U$3:$U$202,0)),"")</f>
        <v/>
      </c>
      <c r="M20" s="41">
        <f>IFERROR(INDEX(بيانات!$A$3:$A$202,MATCH(15,$V$3:$V$202,0)),"")</f>
        <v/>
      </c>
      <c r="N20" s="41">
        <f>IFERROR(INDEX(بيانات!$B$3:$B$202,MATCH(15,$V$3:$V$202,0))&amp;" "&amp;INDEX(بيانات!$C$3:$C$202,MATCH(15,$V$3:$V$202,0)),"")</f>
        <v/>
      </c>
      <c r="O20" s="41">
        <f>IFERROR(INDEX(بيانات!$H$3:$H$202,MATCH(15,$V$3:$V$202,0)),"")</f>
        <v/>
      </c>
      <c r="S20">
        <f>IF(AND(بيانات!$B20&lt;&gt;"",بيانات!$G20="ذكر",بيانات!$H20&lt;13),COUNTA($S$3:S20),"")</f>
        <v/>
      </c>
      <c r="T20">
        <f>IF(AND(بيانات!$B20&lt;&gt;"",بيانات!$G20="أنثى",بيانات!$H20&lt;13),COUNTA($T$3:T20),"")</f>
        <v/>
      </c>
      <c r="U20">
        <f>IF(AND(بيانات!$B20&lt;&gt;"",بيانات!$G20="ذكر",بيانات!$H20&gt;=13),COUNTA($U$3:U20),"")</f>
        <v/>
      </c>
      <c r="V20">
        <f>IF(AND(بيانات!$B20&lt;&gt;"",بيانات!$G20="أنثى",بيانات!$H20&gt;=13),COUNTA($V$3:V20),"")</f>
        <v/>
      </c>
    </row>
    <row r="21">
      <c r="A21" s="41">
        <f>IFERROR(INDEX(بيانات!$A$3:$A$202,MATCH(16,$S$3:$S$202,0)),"")</f>
        <v/>
      </c>
      <c r="B21" s="41">
        <f>IFERROR(INDEX(بيانات!$B$3:$B$202,MATCH(16,$S$3:$S$202,0))&amp;" "&amp;INDEX(بيانات!$C$3:$C$202,MATCH(16,$S$3:$S$202,0)),"")</f>
        <v/>
      </c>
      <c r="C21" s="41">
        <f>IFERROR(INDEX(بيانات!$H$3:$H$202,MATCH(16,$S$3:$S$202,0)),"")</f>
        <v/>
      </c>
      <c r="E21" s="41">
        <f>IFERROR(INDEX(بيانات!$A$3:$A$202,MATCH(16,$T$3:$T$202,0)),"")</f>
        <v/>
      </c>
      <c r="F21" s="41">
        <f>IFERROR(INDEX(بيانات!$B$3:$B$202,MATCH(16,$T$3:$T$202,0))&amp;" "&amp;INDEX(بيانات!$C$3:$C$202,MATCH(16,$T$3:$T$202,0)),"")</f>
        <v/>
      </c>
      <c r="G21" s="41">
        <f>IFERROR(INDEX(بيانات!$H$3:$H$202,MATCH(16,$T$3:$T$202,0)),"")</f>
        <v/>
      </c>
      <c r="I21" s="41">
        <f>IFERROR(INDEX(بيانات!$A$3:$A$202,MATCH(16,$U$3:$U$202,0)),"")</f>
        <v/>
      </c>
      <c r="J21" s="41">
        <f>IFERROR(INDEX(بيانات!$B$3:$B$202,MATCH(16,$U$3:$U$202,0))&amp;" "&amp;INDEX(بيانات!$C$3:$C$202,MATCH(16,$U$3:$U$202,0)),"")</f>
        <v/>
      </c>
      <c r="K21" s="41">
        <f>IFERROR(INDEX(بيانات!$H$3:$H$202,MATCH(16,$U$3:$U$202,0)),"")</f>
        <v/>
      </c>
      <c r="M21" s="41">
        <f>IFERROR(INDEX(بيانات!$A$3:$A$202,MATCH(16,$V$3:$V$202,0)),"")</f>
        <v/>
      </c>
      <c r="N21" s="41">
        <f>IFERROR(INDEX(بيانات!$B$3:$B$202,MATCH(16,$V$3:$V$202,0))&amp;" "&amp;INDEX(بيانات!$C$3:$C$202,MATCH(16,$V$3:$V$202,0)),"")</f>
        <v/>
      </c>
      <c r="O21" s="41">
        <f>IFERROR(INDEX(بيانات!$H$3:$H$202,MATCH(16,$V$3:$V$202,0)),"")</f>
        <v/>
      </c>
      <c r="S21">
        <f>IF(AND(بيانات!$B21&lt;&gt;"",بيانات!$G21="ذكر",بيانات!$H21&lt;13),COUNTA($S$3:S21),"")</f>
        <v/>
      </c>
      <c r="T21">
        <f>IF(AND(بيانات!$B21&lt;&gt;"",بيانات!$G21="أنثى",بيانات!$H21&lt;13),COUNTA($T$3:T21),"")</f>
        <v/>
      </c>
      <c r="U21">
        <f>IF(AND(بيانات!$B21&lt;&gt;"",بيانات!$G21="ذكر",بيانات!$H21&gt;=13),COUNTA($U$3:U21),"")</f>
        <v/>
      </c>
      <c r="V21">
        <f>IF(AND(بيانات!$B21&lt;&gt;"",بيانات!$G21="أنثى",بيانات!$H21&gt;=13),COUNTA($V$3:V21),"")</f>
        <v/>
      </c>
    </row>
    <row r="22">
      <c r="A22" s="41">
        <f>IFERROR(INDEX(بيانات!$A$3:$A$202,MATCH(17,$S$3:$S$202,0)),"")</f>
        <v/>
      </c>
      <c r="B22" s="41">
        <f>IFERROR(INDEX(بيانات!$B$3:$B$202,MATCH(17,$S$3:$S$202,0))&amp;" "&amp;INDEX(بيانات!$C$3:$C$202,MATCH(17,$S$3:$S$202,0)),"")</f>
        <v/>
      </c>
      <c r="C22" s="41">
        <f>IFERROR(INDEX(بيانات!$H$3:$H$202,MATCH(17,$S$3:$S$202,0)),"")</f>
        <v/>
      </c>
      <c r="E22" s="41">
        <f>IFERROR(INDEX(بيانات!$A$3:$A$202,MATCH(17,$T$3:$T$202,0)),"")</f>
        <v/>
      </c>
      <c r="F22" s="41">
        <f>IFERROR(INDEX(بيانات!$B$3:$B$202,MATCH(17,$T$3:$T$202,0))&amp;" "&amp;INDEX(بيانات!$C$3:$C$202,MATCH(17,$T$3:$T$202,0)),"")</f>
        <v/>
      </c>
      <c r="G22" s="41">
        <f>IFERROR(INDEX(بيانات!$H$3:$H$202,MATCH(17,$T$3:$T$202,0)),"")</f>
        <v/>
      </c>
      <c r="I22" s="41">
        <f>IFERROR(INDEX(بيانات!$A$3:$A$202,MATCH(17,$U$3:$U$202,0)),"")</f>
        <v/>
      </c>
      <c r="J22" s="41">
        <f>IFERROR(INDEX(بيانات!$B$3:$B$202,MATCH(17,$U$3:$U$202,0))&amp;" "&amp;INDEX(بيانات!$C$3:$C$202,MATCH(17,$U$3:$U$202,0)),"")</f>
        <v/>
      </c>
      <c r="K22" s="41">
        <f>IFERROR(INDEX(بيانات!$H$3:$H$202,MATCH(17,$U$3:$U$202,0)),"")</f>
        <v/>
      </c>
      <c r="M22" s="41">
        <f>IFERROR(INDEX(بيانات!$A$3:$A$202,MATCH(17,$V$3:$V$202,0)),"")</f>
        <v/>
      </c>
      <c r="N22" s="41">
        <f>IFERROR(INDEX(بيانات!$B$3:$B$202,MATCH(17,$V$3:$V$202,0))&amp;" "&amp;INDEX(بيانات!$C$3:$C$202,MATCH(17,$V$3:$V$202,0)),"")</f>
        <v/>
      </c>
      <c r="O22" s="41">
        <f>IFERROR(INDEX(بيانات!$H$3:$H$202,MATCH(17,$V$3:$V$202,0)),"")</f>
        <v/>
      </c>
      <c r="S22">
        <f>IF(AND(بيانات!$B22&lt;&gt;"",بيانات!$G22="ذكر",بيانات!$H22&lt;13),COUNTA($S$3:S22),"")</f>
        <v/>
      </c>
      <c r="T22">
        <f>IF(AND(بيانات!$B22&lt;&gt;"",بيانات!$G22="أنثى",بيانات!$H22&lt;13),COUNTA($T$3:T22),"")</f>
        <v/>
      </c>
      <c r="U22">
        <f>IF(AND(بيانات!$B22&lt;&gt;"",بيانات!$G22="ذكر",بيانات!$H22&gt;=13),COUNTA($U$3:U22),"")</f>
        <v/>
      </c>
      <c r="V22">
        <f>IF(AND(بيانات!$B22&lt;&gt;"",بيانات!$G22="أنثى",بيانات!$H22&gt;=13),COUNTA($V$3:V22),"")</f>
        <v/>
      </c>
    </row>
    <row r="23">
      <c r="A23" s="41">
        <f>IFERROR(INDEX(بيانات!$A$3:$A$202,MATCH(18,$S$3:$S$202,0)),"")</f>
        <v/>
      </c>
      <c r="B23" s="41">
        <f>IFERROR(INDEX(بيانات!$B$3:$B$202,MATCH(18,$S$3:$S$202,0))&amp;" "&amp;INDEX(بيانات!$C$3:$C$202,MATCH(18,$S$3:$S$202,0)),"")</f>
        <v/>
      </c>
      <c r="C23" s="41">
        <f>IFERROR(INDEX(بيانات!$H$3:$H$202,MATCH(18,$S$3:$S$202,0)),"")</f>
        <v/>
      </c>
      <c r="E23" s="41">
        <f>IFERROR(INDEX(بيانات!$A$3:$A$202,MATCH(18,$T$3:$T$202,0)),"")</f>
        <v/>
      </c>
      <c r="F23" s="41">
        <f>IFERROR(INDEX(بيانات!$B$3:$B$202,MATCH(18,$T$3:$T$202,0))&amp;" "&amp;INDEX(بيانات!$C$3:$C$202,MATCH(18,$T$3:$T$202,0)),"")</f>
        <v/>
      </c>
      <c r="G23" s="41">
        <f>IFERROR(INDEX(بيانات!$H$3:$H$202,MATCH(18,$T$3:$T$202,0)),"")</f>
        <v/>
      </c>
      <c r="I23" s="41">
        <f>IFERROR(INDEX(بيانات!$A$3:$A$202,MATCH(18,$U$3:$U$202,0)),"")</f>
        <v/>
      </c>
      <c r="J23" s="41">
        <f>IFERROR(INDEX(بيانات!$B$3:$B$202,MATCH(18,$U$3:$U$202,0))&amp;" "&amp;INDEX(بيانات!$C$3:$C$202,MATCH(18,$U$3:$U$202,0)),"")</f>
        <v/>
      </c>
      <c r="K23" s="41">
        <f>IFERROR(INDEX(بيانات!$H$3:$H$202,MATCH(18,$U$3:$U$202,0)),"")</f>
        <v/>
      </c>
      <c r="M23" s="41">
        <f>IFERROR(INDEX(بيانات!$A$3:$A$202,MATCH(18,$V$3:$V$202,0)),"")</f>
        <v/>
      </c>
      <c r="N23" s="41">
        <f>IFERROR(INDEX(بيانات!$B$3:$B$202,MATCH(18,$V$3:$V$202,0))&amp;" "&amp;INDEX(بيانات!$C$3:$C$202,MATCH(18,$V$3:$V$202,0)),"")</f>
        <v/>
      </c>
      <c r="O23" s="41">
        <f>IFERROR(INDEX(بيانات!$H$3:$H$202,MATCH(18,$V$3:$V$202,0)),"")</f>
        <v/>
      </c>
      <c r="S23">
        <f>IF(AND(بيانات!$B23&lt;&gt;"",بيانات!$G23="ذكر",بيانات!$H23&lt;13),COUNTA($S$3:S23),"")</f>
        <v/>
      </c>
      <c r="T23">
        <f>IF(AND(بيانات!$B23&lt;&gt;"",بيانات!$G23="أنثى",بيانات!$H23&lt;13),COUNTA($T$3:T23),"")</f>
        <v/>
      </c>
      <c r="U23">
        <f>IF(AND(بيانات!$B23&lt;&gt;"",بيانات!$G23="ذكر",بيانات!$H23&gt;=13),COUNTA($U$3:U23),"")</f>
        <v/>
      </c>
      <c r="V23">
        <f>IF(AND(بيانات!$B23&lt;&gt;"",بيانات!$G23="أنثى",بيانات!$H23&gt;=13),COUNTA($V$3:V23),"")</f>
        <v/>
      </c>
    </row>
    <row r="24">
      <c r="A24" s="41">
        <f>IFERROR(INDEX(بيانات!$A$3:$A$202,MATCH(19,$S$3:$S$202,0)),"")</f>
        <v/>
      </c>
      <c r="B24" s="41">
        <f>IFERROR(INDEX(بيانات!$B$3:$B$202,MATCH(19,$S$3:$S$202,0))&amp;" "&amp;INDEX(بيانات!$C$3:$C$202,MATCH(19,$S$3:$S$202,0)),"")</f>
        <v/>
      </c>
      <c r="C24" s="41">
        <f>IFERROR(INDEX(بيانات!$H$3:$H$202,MATCH(19,$S$3:$S$202,0)),"")</f>
        <v/>
      </c>
      <c r="E24" s="41">
        <f>IFERROR(INDEX(بيانات!$A$3:$A$202,MATCH(19,$T$3:$T$202,0)),"")</f>
        <v/>
      </c>
      <c r="F24" s="41">
        <f>IFERROR(INDEX(بيانات!$B$3:$B$202,MATCH(19,$T$3:$T$202,0))&amp;" "&amp;INDEX(بيانات!$C$3:$C$202,MATCH(19,$T$3:$T$202,0)),"")</f>
        <v/>
      </c>
      <c r="G24" s="41">
        <f>IFERROR(INDEX(بيانات!$H$3:$H$202,MATCH(19,$T$3:$T$202,0)),"")</f>
        <v/>
      </c>
      <c r="I24" s="41">
        <f>IFERROR(INDEX(بيانات!$A$3:$A$202,MATCH(19,$U$3:$U$202,0)),"")</f>
        <v/>
      </c>
      <c r="J24" s="41">
        <f>IFERROR(INDEX(بيانات!$B$3:$B$202,MATCH(19,$U$3:$U$202,0))&amp;" "&amp;INDEX(بيانات!$C$3:$C$202,MATCH(19,$U$3:$U$202,0)),"")</f>
        <v/>
      </c>
      <c r="K24" s="41">
        <f>IFERROR(INDEX(بيانات!$H$3:$H$202,MATCH(19,$U$3:$U$202,0)),"")</f>
        <v/>
      </c>
      <c r="M24" s="41">
        <f>IFERROR(INDEX(بيانات!$A$3:$A$202,MATCH(19,$V$3:$V$202,0)),"")</f>
        <v/>
      </c>
      <c r="N24" s="41">
        <f>IFERROR(INDEX(بيانات!$B$3:$B$202,MATCH(19,$V$3:$V$202,0))&amp;" "&amp;INDEX(بيانات!$C$3:$C$202,MATCH(19,$V$3:$V$202,0)),"")</f>
        <v/>
      </c>
      <c r="O24" s="41">
        <f>IFERROR(INDEX(بيانات!$H$3:$H$202,MATCH(19,$V$3:$V$202,0)),"")</f>
        <v/>
      </c>
      <c r="S24">
        <f>IF(AND(بيانات!$B24&lt;&gt;"",بيانات!$G24="ذكر",بيانات!$H24&lt;13),COUNTA($S$3:S24),"")</f>
        <v/>
      </c>
      <c r="T24">
        <f>IF(AND(بيانات!$B24&lt;&gt;"",بيانات!$G24="أنثى",بيانات!$H24&lt;13),COUNTA($T$3:T24),"")</f>
        <v/>
      </c>
      <c r="U24">
        <f>IF(AND(بيانات!$B24&lt;&gt;"",بيانات!$G24="ذكر",بيانات!$H24&gt;=13),COUNTA($U$3:U24),"")</f>
        <v/>
      </c>
      <c r="V24">
        <f>IF(AND(بيانات!$B24&lt;&gt;"",بيانات!$G24="أنثى",بيانات!$H24&gt;=13),COUNTA($V$3:V24),"")</f>
        <v/>
      </c>
    </row>
    <row r="25">
      <c r="A25" s="41">
        <f>IFERROR(INDEX(بيانات!$A$3:$A$202,MATCH(20,$S$3:$S$202,0)),"")</f>
        <v/>
      </c>
      <c r="B25" s="41">
        <f>IFERROR(INDEX(بيانات!$B$3:$B$202,MATCH(20,$S$3:$S$202,0))&amp;" "&amp;INDEX(بيانات!$C$3:$C$202,MATCH(20,$S$3:$S$202,0)),"")</f>
        <v/>
      </c>
      <c r="C25" s="41">
        <f>IFERROR(INDEX(بيانات!$H$3:$H$202,MATCH(20,$S$3:$S$202,0)),"")</f>
        <v/>
      </c>
      <c r="E25" s="41">
        <f>IFERROR(INDEX(بيانات!$A$3:$A$202,MATCH(20,$T$3:$T$202,0)),"")</f>
        <v/>
      </c>
      <c r="F25" s="41">
        <f>IFERROR(INDEX(بيانات!$B$3:$B$202,MATCH(20,$T$3:$T$202,0))&amp;" "&amp;INDEX(بيانات!$C$3:$C$202,MATCH(20,$T$3:$T$202,0)),"")</f>
        <v/>
      </c>
      <c r="G25" s="41">
        <f>IFERROR(INDEX(بيانات!$H$3:$H$202,MATCH(20,$T$3:$T$202,0)),"")</f>
        <v/>
      </c>
      <c r="I25" s="41">
        <f>IFERROR(INDEX(بيانات!$A$3:$A$202,MATCH(20,$U$3:$U$202,0)),"")</f>
        <v/>
      </c>
      <c r="J25" s="41">
        <f>IFERROR(INDEX(بيانات!$B$3:$B$202,MATCH(20,$U$3:$U$202,0))&amp;" "&amp;INDEX(بيانات!$C$3:$C$202,MATCH(20,$U$3:$U$202,0)),"")</f>
        <v/>
      </c>
      <c r="K25" s="41">
        <f>IFERROR(INDEX(بيانات!$H$3:$H$202,MATCH(20,$U$3:$U$202,0)),"")</f>
        <v/>
      </c>
      <c r="M25" s="41">
        <f>IFERROR(INDEX(بيانات!$A$3:$A$202,MATCH(20,$V$3:$V$202,0)),"")</f>
        <v/>
      </c>
      <c r="N25" s="41">
        <f>IFERROR(INDEX(بيانات!$B$3:$B$202,MATCH(20,$V$3:$V$202,0))&amp;" "&amp;INDEX(بيانات!$C$3:$C$202,MATCH(20,$V$3:$V$202,0)),"")</f>
        <v/>
      </c>
      <c r="O25" s="41">
        <f>IFERROR(INDEX(بيانات!$H$3:$H$202,MATCH(20,$V$3:$V$202,0)),"")</f>
        <v/>
      </c>
      <c r="S25">
        <f>IF(AND(بيانات!$B25&lt;&gt;"",بيانات!$G25="ذكر",بيانات!$H25&lt;13),COUNTA($S$3:S25),"")</f>
        <v/>
      </c>
      <c r="T25">
        <f>IF(AND(بيانات!$B25&lt;&gt;"",بيانات!$G25="أنثى",بيانات!$H25&lt;13),COUNTA($T$3:T25),"")</f>
        <v/>
      </c>
      <c r="U25">
        <f>IF(AND(بيانات!$B25&lt;&gt;"",بيانات!$G25="ذكر",بيانات!$H25&gt;=13),COUNTA($U$3:U25),"")</f>
        <v/>
      </c>
      <c r="V25">
        <f>IF(AND(بيانات!$B25&lt;&gt;"",بيانات!$G25="أنثى",بيانات!$H25&gt;=13),COUNTA($V$3:V25),"")</f>
        <v/>
      </c>
    </row>
    <row r="26">
      <c r="A26" s="41">
        <f>IFERROR(INDEX(بيانات!$A$3:$A$202,MATCH(21,$S$3:$S$202,0)),"")</f>
        <v/>
      </c>
      <c r="B26" s="41">
        <f>IFERROR(INDEX(بيانات!$B$3:$B$202,MATCH(21,$S$3:$S$202,0))&amp;" "&amp;INDEX(بيانات!$C$3:$C$202,MATCH(21,$S$3:$S$202,0)),"")</f>
        <v/>
      </c>
      <c r="C26" s="41">
        <f>IFERROR(INDEX(بيانات!$H$3:$H$202,MATCH(21,$S$3:$S$202,0)),"")</f>
        <v/>
      </c>
      <c r="E26" s="41">
        <f>IFERROR(INDEX(بيانات!$A$3:$A$202,MATCH(21,$T$3:$T$202,0)),"")</f>
        <v/>
      </c>
      <c r="F26" s="41">
        <f>IFERROR(INDEX(بيانات!$B$3:$B$202,MATCH(21,$T$3:$T$202,0))&amp;" "&amp;INDEX(بيانات!$C$3:$C$202,MATCH(21,$T$3:$T$202,0)),"")</f>
        <v/>
      </c>
      <c r="G26" s="41">
        <f>IFERROR(INDEX(بيانات!$H$3:$H$202,MATCH(21,$T$3:$T$202,0)),"")</f>
        <v/>
      </c>
      <c r="I26" s="41">
        <f>IFERROR(INDEX(بيانات!$A$3:$A$202,MATCH(21,$U$3:$U$202,0)),"")</f>
        <v/>
      </c>
      <c r="J26" s="41">
        <f>IFERROR(INDEX(بيانات!$B$3:$B$202,MATCH(21,$U$3:$U$202,0))&amp;" "&amp;INDEX(بيانات!$C$3:$C$202,MATCH(21,$U$3:$U$202,0)),"")</f>
        <v/>
      </c>
      <c r="K26" s="41">
        <f>IFERROR(INDEX(بيانات!$H$3:$H$202,MATCH(21,$U$3:$U$202,0)),"")</f>
        <v/>
      </c>
      <c r="M26" s="41">
        <f>IFERROR(INDEX(بيانات!$A$3:$A$202,MATCH(21,$V$3:$V$202,0)),"")</f>
        <v/>
      </c>
      <c r="N26" s="41">
        <f>IFERROR(INDEX(بيانات!$B$3:$B$202,MATCH(21,$V$3:$V$202,0))&amp;" "&amp;INDEX(بيانات!$C$3:$C$202,MATCH(21,$V$3:$V$202,0)),"")</f>
        <v/>
      </c>
      <c r="O26" s="41">
        <f>IFERROR(INDEX(بيانات!$H$3:$H$202,MATCH(21,$V$3:$V$202,0)),"")</f>
        <v/>
      </c>
      <c r="S26">
        <f>IF(AND(بيانات!$B26&lt;&gt;"",بيانات!$G26="ذكر",بيانات!$H26&lt;13),COUNTA($S$3:S26),"")</f>
        <v/>
      </c>
      <c r="T26">
        <f>IF(AND(بيانات!$B26&lt;&gt;"",بيانات!$G26="أنثى",بيانات!$H26&lt;13),COUNTA($T$3:T26),"")</f>
        <v/>
      </c>
      <c r="U26">
        <f>IF(AND(بيانات!$B26&lt;&gt;"",بيانات!$G26="ذكر",بيانات!$H26&gt;=13),COUNTA($U$3:U26),"")</f>
        <v/>
      </c>
      <c r="V26">
        <f>IF(AND(بيانات!$B26&lt;&gt;"",بيانات!$G26="أنثى",بيانات!$H26&gt;=13),COUNTA($V$3:V26),"")</f>
        <v/>
      </c>
    </row>
    <row r="27">
      <c r="A27" s="41">
        <f>IFERROR(INDEX(بيانات!$A$3:$A$202,MATCH(22,$S$3:$S$202,0)),"")</f>
        <v/>
      </c>
      <c r="B27" s="41">
        <f>IFERROR(INDEX(بيانات!$B$3:$B$202,MATCH(22,$S$3:$S$202,0))&amp;" "&amp;INDEX(بيانات!$C$3:$C$202,MATCH(22,$S$3:$S$202,0)),"")</f>
        <v/>
      </c>
      <c r="C27" s="41">
        <f>IFERROR(INDEX(بيانات!$H$3:$H$202,MATCH(22,$S$3:$S$202,0)),"")</f>
        <v/>
      </c>
      <c r="E27" s="41">
        <f>IFERROR(INDEX(بيانات!$A$3:$A$202,MATCH(22,$T$3:$T$202,0)),"")</f>
        <v/>
      </c>
      <c r="F27" s="41">
        <f>IFERROR(INDEX(بيانات!$B$3:$B$202,MATCH(22,$T$3:$T$202,0))&amp;" "&amp;INDEX(بيانات!$C$3:$C$202,MATCH(22,$T$3:$T$202,0)),"")</f>
        <v/>
      </c>
      <c r="G27" s="41">
        <f>IFERROR(INDEX(بيانات!$H$3:$H$202,MATCH(22,$T$3:$T$202,0)),"")</f>
        <v/>
      </c>
      <c r="I27" s="41">
        <f>IFERROR(INDEX(بيانات!$A$3:$A$202,MATCH(22,$U$3:$U$202,0)),"")</f>
        <v/>
      </c>
      <c r="J27" s="41">
        <f>IFERROR(INDEX(بيانات!$B$3:$B$202,MATCH(22,$U$3:$U$202,0))&amp;" "&amp;INDEX(بيانات!$C$3:$C$202,MATCH(22,$U$3:$U$202,0)),"")</f>
        <v/>
      </c>
      <c r="K27" s="41">
        <f>IFERROR(INDEX(بيانات!$H$3:$H$202,MATCH(22,$U$3:$U$202,0)),"")</f>
        <v/>
      </c>
      <c r="M27" s="41">
        <f>IFERROR(INDEX(بيانات!$A$3:$A$202,MATCH(22,$V$3:$V$202,0)),"")</f>
        <v/>
      </c>
      <c r="N27" s="41">
        <f>IFERROR(INDEX(بيانات!$B$3:$B$202,MATCH(22,$V$3:$V$202,0))&amp;" "&amp;INDEX(بيانات!$C$3:$C$202,MATCH(22,$V$3:$V$202,0)),"")</f>
        <v/>
      </c>
      <c r="O27" s="41">
        <f>IFERROR(INDEX(بيانات!$H$3:$H$202,MATCH(22,$V$3:$V$202,0)),"")</f>
        <v/>
      </c>
      <c r="S27">
        <f>IF(AND(بيانات!$B27&lt;&gt;"",بيانات!$G27="ذكر",بيانات!$H27&lt;13),COUNTA($S$3:S27),"")</f>
        <v/>
      </c>
      <c r="T27">
        <f>IF(AND(بيانات!$B27&lt;&gt;"",بيانات!$G27="أنثى",بيانات!$H27&lt;13),COUNTA($T$3:T27),"")</f>
        <v/>
      </c>
      <c r="U27">
        <f>IF(AND(بيانات!$B27&lt;&gt;"",بيانات!$G27="ذكر",بيانات!$H27&gt;=13),COUNTA($U$3:U27),"")</f>
        <v/>
      </c>
      <c r="V27">
        <f>IF(AND(بيانات!$B27&lt;&gt;"",بيانات!$G27="أنثى",بيانات!$H27&gt;=13),COUNTA($V$3:V27),"")</f>
        <v/>
      </c>
    </row>
    <row r="28">
      <c r="A28" s="41">
        <f>IFERROR(INDEX(بيانات!$A$3:$A$202,MATCH(23,$S$3:$S$202,0)),"")</f>
        <v/>
      </c>
      <c r="B28" s="41">
        <f>IFERROR(INDEX(بيانات!$B$3:$B$202,MATCH(23,$S$3:$S$202,0))&amp;" "&amp;INDEX(بيانات!$C$3:$C$202,MATCH(23,$S$3:$S$202,0)),"")</f>
        <v/>
      </c>
      <c r="C28" s="41">
        <f>IFERROR(INDEX(بيانات!$H$3:$H$202,MATCH(23,$S$3:$S$202,0)),"")</f>
        <v/>
      </c>
      <c r="E28" s="41">
        <f>IFERROR(INDEX(بيانات!$A$3:$A$202,MATCH(23,$T$3:$T$202,0)),"")</f>
        <v/>
      </c>
      <c r="F28" s="41">
        <f>IFERROR(INDEX(بيانات!$B$3:$B$202,MATCH(23,$T$3:$T$202,0))&amp;" "&amp;INDEX(بيانات!$C$3:$C$202,MATCH(23,$T$3:$T$202,0)),"")</f>
        <v/>
      </c>
      <c r="G28" s="41">
        <f>IFERROR(INDEX(بيانات!$H$3:$H$202,MATCH(23,$T$3:$T$202,0)),"")</f>
        <v/>
      </c>
      <c r="I28" s="41">
        <f>IFERROR(INDEX(بيانات!$A$3:$A$202,MATCH(23,$U$3:$U$202,0)),"")</f>
        <v/>
      </c>
      <c r="J28" s="41">
        <f>IFERROR(INDEX(بيانات!$B$3:$B$202,MATCH(23,$U$3:$U$202,0))&amp;" "&amp;INDEX(بيانات!$C$3:$C$202,MATCH(23,$U$3:$U$202,0)),"")</f>
        <v/>
      </c>
      <c r="K28" s="41">
        <f>IFERROR(INDEX(بيانات!$H$3:$H$202,MATCH(23,$U$3:$U$202,0)),"")</f>
        <v/>
      </c>
      <c r="M28" s="41">
        <f>IFERROR(INDEX(بيانات!$A$3:$A$202,MATCH(23,$V$3:$V$202,0)),"")</f>
        <v/>
      </c>
      <c r="N28" s="41">
        <f>IFERROR(INDEX(بيانات!$B$3:$B$202,MATCH(23,$V$3:$V$202,0))&amp;" "&amp;INDEX(بيانات!$C$3:$C$202,MATCH(23,$V$3:$V$202,0)),"")</f>
        <v/>
      </c>
      <c r="O28" s="41">
        <f>IFERROR(INDEX(بيانات!$H$3:$H$202,MATCH(23,$V$3:$V$202,0)),"")</f>
        <v/>
      </c>
      <c r="S28">
        <f>IF(AND(بيانات!$B28&lt;&gt;"",بيانات!$G28="ذكر",بيانات!$H28&lt;13),COUNTA($S$3:S28),"")</f>
        <v/>
      </c>
      <c r="T28">
        <f>IF(AND(بيانات!$B28&lt;&gt;"",بيانات!$G28="أنثى",بيانات!$H28&lt;13),COUNTA($T$3:T28),"")</f>
        <v/>
      </c>
      <c r="U28">
        <f>IF(AND(بيانات!$B28&lt;&gt;"",بيانات!$G28="ذكر",بيانات!$H28&gt;=13),COUNTA($U$3:U28),"")</f>
        <v/>
      </c>
      <c r="V28">
        <f>IF(AND(بيانات!$B28&lt;&gt;"",بيانات!$G28="أنثى",بيانات!$H28&gt;=13),COUNTA($V$3:V28),"")</f>
        <v/>
      </c>
    </row>
    <row r="29">
      <c r="A29" s="41">
        <f>IFERROR(INDEX(بيانات!$A$3:$A$202,MATCH(24,$S$3:$S$202,0)),"")</f>
        <v/>
      </c>
      <c r="B29" s="41">
        <f>IFERROR(INDEX(بيانات!$B$3:$B$202,MATCH(24,$S$3:$S$202,0))&amp;" "&amp;INDEX(بيانات!$C$3:$C$202,MATCH(24,$S$3:$S$202,0)),"")</f>
        <v/>
      </c>
      <c r="C29" s="41">
        <f>IFERROR(INDEX(بيانات!$H$3:$H$202,MATCH(24,$S$3:$S$202,0)),"")</f>
        <v/>
      </c>
      <c r="E29" s="41">
        <f>IFERROR(INDEX(بيانات!$A$3:$A$202,MATCH(24,$T$3:$T$202,0)),"")</f>
        <v/>
      </c>
      <c r="F29" s="41">
        <f>IFERROR(INDEX(بيانات!$B$3:$B$202,MATCH(24,$T$3:$T$202,0))&amp;" "&amp;INDEX(بيانات!$C$3:$C$202,MATCH(24,$T$3:$T$202,0)),"")</f>
        <v/>
      </c>
      <c r="G29" s="41">
        <f>IFERROR(INDEX(بيانات!$H$3:$H$202,MATCH(24,$T$3:$T$202,0)),"")</f>
        <v/>
      </c>
      <c r="I29" s="41">
        <f>IFERROR(INDEX(بيانات!$A$3:$A$202,MATCH(24,$U$3:$U$202,0)),"")</f>
        <v/>
      </c>
      <c r="J29" s="41">
        <f>IFERROR(INDEX(بيانات!$B$3:$B$202,MATCH(24,$U$3:$U$202,0))&amp;" "&amp;INDEX(بيانات!$C$3:$C$202,MATCH(24,$U$3:$U$202,0)),"")</f>
        <v/>
      </c>
      <c r="K29" s="41">
        <f>IFERROR(INDEX(بيانات!$H$3:$H$202,MATCH(24,$U$3:$U$202,0)),"")</f>
        <v/>
      </c>
      <c r="M29" s="41">
        <f>IFERROR(INDEX(بيانات!$A$3:$A$202,MATCH(24,$V$3:$V$202,0)),"")</f>
        <v/>
      </c>
      <c r="N29" s="41">
        <f>IFERROR(INDEX(بيانات!$B$3:$B$202,MATCH(24,$V$3:$V$202,0))&amp;" "&amp;INDEX(بيانات!$C$3:$C$202,MATCH(24,$V$3:$V$202,0)),"")</f>
        <v/>
      </c>
      <c r="O29" s="41">
        <f>IFERROR(INDEX(بيانات!$H$3:$H$202,MATCH(24,$V$3:$V$202,0)),"")</f>
        <v/>
      </c>
      <c r="S29">
        <f>IF(AND(بيانات!$B29&lt;&gt;"",بيانات!$G29="ذكر",بيانات!$H29&lt;13),COUNTA($S$3:S29),"")</f>
        <v/>
      </c>
      <c r="T29">
        <f>IF(AND(بيانات!$B29&lt;&gt;"",بيانات!$G29="أنثى",بيانات!$H29&lt;13),COUNTA($T$3:T29),"")</f>
        <v/>
      </c>
      <c r="U29">
        <f>IF(AND(بيانات!$B29&lt;&gt;"",بيانات!$G29="ذكر",بيانات!$H29&gt;=13),COUNTA($U$3:U29),"")</f>
        <v/>
      </c>
      <c r="V29">
        <f>IF(AND(بيانات!$B29&lt;&gt;"",بيانات!$G29="أنثى",بيانات!$H29&gt;=13),COUNTA($V$3:V29),"")</f>
        <v/>
      </c>
    </row>
    <row r="30">
      <c r="A30" s="41">
        <f>IFERROR(INDEX(بيانات!$A$3:$A$202,MATCH(25,$S$3:$S$202,0)),"")</f>
        <v/>
      </c>
      <c r="B30" s="41">
        <f>IFERROR(INDEX(بيانات!$B$3:$B$202,MATCH(25,$S$3:$S$202,0))&amp;" "&amp;INDEX(بيانات!$C$3:$C$202,MATCH(25,$S$3:$S$202,0)),"")</f>
        <v/>
      </c>
      <c r="C30" s="41">
        <f>IFERROR(INDEX(بيانات!$H$3:$H$202,MATCH(25,$S$3:$S$202,0)),"")</f>
        <v/>
      </c>
      <c r="E30" s="41">
        <f>IFERROR(INDEX(بيانات!$A$3:$A$202,MATCH(25,$T$3:$T$202,0)),"")</f>
        <v/>
      </c>
      <c r="F30" s="41">
        <f>IFERROR(INDEX(بيانات!$B$3:$B$202,MATCH(25,$T$3:$T$202,0))&amp;" "&amp;INDEX(بيانات!$C$3:$C$202,MATCH(25,$T$3:$T$202,0)),"")</f>
        <v/>
      </c>
      <c r="G30" s="41">
        <f>IFERROR(INDEX(بيانات!$H$3:$H$202,MATCH(25,$T$3:$T$202,0)),"")</f>
        <v/>
      </c>
      <c r="I30" s="41">
        <f>IFERROR(INDEX(بيانات!$A$3:$A$202,MATCH(25,$U$3:$U$202,0)),"")</f>
        <v/>
      </c>
      <c r="J30" s="41">
        <f>IFERROR(INDEX(بيانات!$B$3:$B$202,MATCH(25,$U$3:$U$202,0))&amp;" "&amp;INDEX(بيانات!$C$3:$C$202,MATCH(25,$U$3:$U$202,0)),"")</f>
        <v/>
      </c>
      <c r="K30" s="41">
        <f>IFERROR(INDEX(بيانات!$H$3:$H$202,MATCH(25,$U$3:$U$202,0)),"")</f>
        <v/>
      </c>
      <c r="M30" s="41">
        <f>IFERROR(INDEX(بيانات!$A$3:$A$202,MATCH(25,$V$3:$V$202,0)),"")</f>
        <v/>
      </c>
      <c r="N30" s="41">
        <f>IFERROR(INDEX(بيانات!$B$3:$B$202,MATCH(25,$V$3:$V$202,0))&amp;" "&amp;INDEX(بيانات!$C$3:$C$202,MATCH(25,$V$3:$V$202,0)),"")</f>
        <v/>
      </c>
      <c r="O30" s="41">
        <f>IFERROR(INDEX(بيانات!$H$3:$H$202,MATCH(25,$V$3:$V$202,0)),"")</f>
        <v/>
      </c>
      <c r="S30">
        <f>IF(AND(بيانات!$B30&lt;&gt;"",بيانات!$G30="ذكر",بيانات!$H30&lt;13),COUNTA($S$3:S30),"")</f>
        <v/>
      </c>
      <c r="T30">
        <f>IF(AND(بيانات!$B30&lt;&gt;"",بيانات!$G30="أنثى",بيانات!$H30&lt;13),COUNTA($T$3:T30),"")</f>
        <v/>
      </c>
      <c r="U30">
        <f>IF(AND(بيانات!$B30&lt;&gt;"",بيانات!$G30="ذكر",بيانات!$H30&gt;=13),COUNTA($U$3:U30),"")</f>
        <v/>
      </c>
      <c r="V30">
        <f>IF(AND(بيانات!$B30&lt;&gt;"",بيانات!$G30="أنثى",بيانات!$H30&gt;=13),COUNTA($V$3:V30),"")</f>
        <v/>
      </c>
    </row>
    <row r="31">
      <c r="A31" s="41">
        <f>IFERROR(INDEX(بيانات!$A$3:$A$202,MATCH(26,$S$3:$S$202,0)),"")</f>
        <v/>
      </c>
      <c r="B31" s="41">
        <f>IFERROR(INDEX(بيانات!$B$3:$B$202,MATCH(26,$S$3:$S$202,0))&amp;" "&amp;INDEX(بيانات!$C$3:$C$202,MATCH(26,$S$3:$S$202,0)),"")</f>
        <v/>
      </c>
      <c r="C31" s="41">
        <f>IFERROR(INDEX(بيانات!$H$3:$H$202,MATCH(26,$S$3:$S$202,0)),"")</f>
        <v/>
      </c>
      <c r="E31" s="41">
        <f>IFERROR(INDEX(بيانات!$A$3:$A$202,MATCH(26,$T$3:$T$202,0)),"")</f>
        <v/>
      </c>
      <c r="F31" s="41">
        <f>IFERROR(INDEX(بيانات!$B$3:$B$202,MATCH(26,$T$3:$T$202,0))&amp;" "&amp;INDEX(بيانات!$C$3:$C$202,MATCH(26,$T$3:$T$202,0)),"")</f>
        <v/>
      </c>
      <c r="G31" s="41">
        <f>IFERROR(INDEX(بيانات!$H$3:$H$202,MATCH(26,$T$3:$T$202,0)),"")</f>
        <v/>
      </c>
      <c r="I31" s="41">
        <f>IFERROR(INDEX(بيانات!$A$3:$A$202,MATCH(26,$U$3:$U$202,0)),"")</f>
        <v/>
      </c>
      <c r="J31" s="41">
        <f>IFERROR(INDEX(بيانات!$B$3:$B$202,MATCH(26,$U$3:$U$202,0))&amp;" "&amp;INDEX(بيانات!$C$3:$C$202,MATCH(26,$U$3:$U$202,0)),"")</f>
        <v/>
      </c>
      <c r="K31" s="41">
        <f>IFERROR(INDEX(بيانات!$H$3:$H$202,MATCH(26,$U$3:$U$202,0)),"")</f>
        <v/>
      </c>
      <c r="M31" s="41">
        <f>IFERROR(INDEX(بيانات!$A$3:$A$202,MATCH(26,$V$3:$V$202,0)),"")</f>
        <v/>
      </c>
      <c r="N31" s="41">
        <f>IFERROR(INDEX(بيانات!$B$3:$B$202,MATCH(26,$V$3:$V$202,0))&amp;" "&amp;INDEX(بيانات!$C$3:$C$202,MATCH(26,$V$3:$V$202,0)),"")</f>
        <v/>
      </c>
      <c r="O31" s="41">
        <f>IFERROR(INDEX(بيانات!$H$3:$H$202,MATCH(26,$V$3:$V$202,0)),"")</f>
        <v/>
      </c>
      <c r="S31">
        <f>IF(AND(بيانات!$B31&lt;&gt;"",بيانات!$G31="ذكر",بيانات!$H31&lt;13),COUNTA($S$3:S31),"")</f>
        <v/>
      </c>
      <c r="T31">
        <f>IF(AND(بيانات!$B31&lt;&gt;"",بيانات!$G31="أنثى",بيانات!$H31&lt;13),COUNTA($T$3:T31),"")</f>
        <v/>
      </c>
      <c r="U31">
        <f>IF(AND(بيانات!$B31&lt;&gt;"",بيانات!$G31="ذكر",بيانات!$H31&gt;=13),COUNTA($U$3:U31),"")</f>
        <v/>
      </c>
      <c r="V31">
        <f>IF(AND(بيانات!$B31&lt;&gt;"",بيانات!$G31="أنثى",بيانات!$H31&gt;=13),COUNTA($V$3:V31),"")</f>
        <v/>
      </c>
    </row>
    <row r="32">
      <c r="A32" s="41">
        <f>IFERROR(INDEX(بيانات!$A$3:$A$202,MATCH(27,$S$3:$S$202,0)),"")</f>
        <v/>
      </c>
      <c r="B32" s="41">
        <f>IFERROR(INDEX(بيانات!$B$3:$B$202,MATCH(27,$S$3:$S$202,0))&amp;" "&amp;INDEX(بيانات!$C$3:$C$202,MATCH(27,$S$3:$S$202,0)),"")</f>
        <v/>
      </c>
      <c r="C32" s="41">
        <f>IFERROR(INDEX(بيانات!$H$3:$H$202,MATCH(27,$S$3:$S$202,0)),"")</f>
        <v/>
      </c>
      <c r="E32" s="41">
        <f>IFERROR(INDEX(بيانات!$A$3:$A$202,MATCH(27,$T$3:$T$202,0)),"")</f>
        <v/>
      </c>
      <c r="F32" s="41">
        <f>IFERROR(INDEX(بيانات!$B$3:$B$202,MATCH(27,$T$3:$T$202,0))&amp;" "&amp;INDEX(بيانات!$C$3:$C$202,MATCH(27,$T$3:$T$202,0)),"")</f>
        <v/>
      </c>
      <c r="G32" s="41">
        <f>IFERROR(INDEX(بيانات!$H$3:$H$202,MATCH(27,$T$3:$T$202,0)),"")</f>
        <v/>
      </c>
      <c r="I32" s="41">
        <f>IFERROR(INDEX(بيانات!$A$3:$A$202,MATCH(27,$U$3:$U$202,0)),"")</f>
        <v/>
      </c>
      <c r="J32" s="41">
        <f>IFERROR(INDEX(بيانات!$B$3:$B$202,MATCH(27,$U$3:$U$202,0))&amp;" "&amp;INDEX(بيانات!$C$3:$C$202,MATCH(27,$U$3:$U$202,0)),"")</f>
        <v/>
      </c>
      <c r="K32" s="41">
        <f>IFERROR(INDEX(بيانات!$H$3:$H$202,MATCH(27,$U$3:$U$202,0)),"")</f>
        <v/>
      </c>
      <c r="M32" s="41">
        <f>IFERROR(INDEX(بيانات!$A$3:$A$202,MATCH(27,$V$3:$V$202,0)),"")</f>
        <v/>
      </c>
      <c r="N32" s="41">
        <f>IFERROR(INDEX(بيانات!$B$3:$B$202,MATCH(27,$V$3:$V$202,0))&amp;" "&amp;INDEX(بيانات!$C$3:$C$202,MATCH(27,$V$3:$V$202,0)),"")</f>
        <v/>
      </c>
      <c r="O32" s="41">
        <f>IFERROR(INDEX(بيانات!$H$3:$H$202,MATCH(27,$V$3:$V$202,0)),"")</f>
        <v/>
      </c>
      <c r="S32">
        <f>IF(AND(بيانات!$B32&lt;&gt;"",بيانات!$G32="ذكر",بيانات!$H32&lt;13),COUNTA($S$3:S32),"")</f>
        <v/>
      </c>
      <c r="T32">
        <f>IF(AND(بيانات!$B32&lt;&gt;"",بيانات!$G32="أنثى",بيانات!$H32&lt;13),COUNTA($T$3:T32),"")</f>
        <v/>
      </c>
      <c r="U32">
        <f>IF(AND(بيانات!$B32&lt;&gt;"",بيانات!$G32="ذكر",بيانات!$H32&gt;=13),COUNTA($U$3:U32),"")</f>
        <v/>
      </c>
      <c r="V32">
        <f>IF(AND(بيانات!$B32&lt;&gt;"",بيانات!$G32="أنثى",بيانات!$H32&gt;=13),COUNTA($V$3:V32),"")</f>
        <v/>
      </c>
    </row>
    <row r="33">
      <c r="A33" s="41">
        <f>IFERROR(INDEX(بيانات!$A$3:$A$202,MATCH(28,$S$3:$S$202,0)),"")</f>
        <v/>
      </c>
      <c r="B33" s="41">
        <f>IFERROR(INDEX(بيانات!$B$3:$B$202,MATCH(28,$S$3:$S$202,0))&amp;" "&amp;INDEX(بيانات!$C$3:$C$202,MATCH(28,$S$3:$S$202,0)),"")</f>
        <v/>
      </c>
      <c r="C33" s="41">
        <f>IFERROR(INDEX(بيانات!$H$3:$H$202,MATCH(28,$S$3:$S$202,0)),"")</f>
        <v/>
      </c>
      <c r="E33" s="41">
        <f>IFERROR(INDEX(بيانات!$A$3:$A$202,MATCH(28,$T$3:$T$202,0)),"")</f>
        <v/>
      </c>
      <c r="F33" s="41">
        <f>IFERROR(INDEX(بيانات!$B$3:$B$202,MATCH(28,$T$3:$T$202,0))&amp;" "&amp;INDEX(بيانات!$C$3:$C$202,MATCH(28,$T$3:$T$202,0)),"")</f>
        <v/>
      </c>
      <c r="G33" s="41">
        <f>IFERROR(INDEX(بيانات!$H$3:$H$202,MATCH(28,$T$3:$T$202,0)),"")</f>
        <v/>
      </c>
      <c r="I33" s="41">
        <f>IFERROR(INDEX(بيانات!$A$3:$A$202,MATCH(28,$U$3:$U$202,0)),"")</f>
        <v/>
      </c>
      <c r="J33" s="41">
        <f>IFERROR(INDEX(بيانات!$B$3:$B$202,MATCH(28,$U$3:$U$202,0))&amp;" "&amp;INDEX(بيانات!$C$3:$C$202,MATCH(28,$U$3:$U$202,0)),"")</f>
        <v/>
      </c>
      <c r="K33" s="41">
        <f>IFERROR(INDEX(بيانات!$H$3:$H$202,MATCH(28,$U$3:$U$202,0)),"")</f>
        <v/>
      </c>
      <c r="M33" s="41">
        <f>IFERROR(INDEX(بيانات!$A$3:$A$202,MATCH(28,$V$3:$V$202,0)),"")</f>
        <v/>
      </c>
      <c r="N33" s="41">
        <f>IFERROR(INDEX(بيانات!$B$3:$B$202,MATCH(28,$V$3:$V$202,0))&amp;" "&amp;INDEX(بيانات!$C$3:$C$202,MATCH(28,$V$3:$V$202,0)),"")</f>
        <v/>
      </c>
      <c r="O33" s="41">
        <f>IFERROR(INDEX(بيانات!$H$3:$H$202,MATCH(28,$V$3:$V$202,0)),"")</f>
        <v/>
      </c>
      <c r="S33">
        <f>IF(AND(بيانات!$B33&lt;&gt;"",بيانات!$G33="ذكر",بيانات!$H33&lt;13),COUNTA($S$3:S33),"")</f>
        <v/>
      </c>
      <c r="T33">
        <f>IF(AND(بيانات!$B33&lt;&gt;"",بيانات!$G33="أنثى",بيانات!$H33&lt;13),COUNTA($T$3:T33),"")</f>
        <v/>
      </c>
      <c r="U33">
        <f>IF(AND(بيانات!$B33&lt;&gt;"",بيانات!$G33="ذكر",بيانات!$H33&gt;=13),COUNTA($U$3:U33),"")</f>
        <v/>
      </c>
      <c r="V33">
        <f>IF(AND(بيانات!$B33&lt;&gt;"",بيانات!$G33="أنثى",بيانات!$H33&gt;=13),COUNTA($V$3:V33),"")</f>
        <v/>
      </c>
    </row>
    <row r="34">
      <c r="A34" s="41">
        <f>IFERROR(INDEX(بيانات!$A$3:$A$202,MATCH(29,$S$3:$S$202,0)),"")</f>
        <v/>
      </c>
      <c r="B34" s="41">
        <f>IFERROR(INDEX(بيانات!$B$3:$B$202,MATCH(29,$S$3:$S$202,0))&amp;" "&amp;INDEX(بيانات!$C$3:$C$202,MATCH(29,$S$3:$S$202,0)),"")</f>
        <v/>
      </c>
      <c r="C34" s="41">
        <f>IFERROR(INDEX(بيانات!$H$3:$H$202,MATCH(29,$S$3:$S$202,0)),"")</f>
        <v/>
      </c>
      <c r="E34" s="41">
        <f>IFERROR(INDEX(بيانات!$A$3:$A$202,MATCH(29,$T$3:$T$202,0)),"")</f>
        <v/>
      </c>
      <c r="F34" s="41">
        <f>IFERROR(INDEX(بيانات!$B$3:$B$202,MATCH(29,$T$3:$T$202,0))&amp;" "&amp;INDEX(بيانات!$C$3:$C$202,MATCH(29,$T$3:$T$202,0)),"")</f>
        <v/>
      </c>
      <c r="G34" s="41">
        <f>IFERROR(INDEX(بيانات!$H$3:$H$202,MATCH(29,$T$3:$T$202,0)),"")</f>
        <v/>
      </c>
      <c r="I34" s="41">
        <f>IFERROR(INDEX(بيانات!$A$3:$A$202,MATCH(29,$U$3:$U$202,0)),"")</f>
        <v/>
      </c>
      <c r="J34" s="41">
        <f>IFERROR(INDEX(بيانات!$B$3:$B$202,MATCH(29,$U$3:$U$202,0))&amp;" "&amp;INDEX(بيانات!$C$3:$C$202,MATCH(29,$U$3:$U$202,0)),"")</f>
        <v/>
      </c>
      <c r="K34" s="41">
        <f>IFERROR(INDEX(بيانات!$H$3:$H$202,MATCH(29,$U$3:$U$202,0)),"")</f>
        <v/>
      </c>
      <c r="M34" s="41">
        <f>IFERROR(INDEX(بيانات!$A$3:$A$202,MATCH(29,$V$3:$V$202,0)),"")</f>
        <v/>
      </c>
      <c r="N34" s="41">
        <f>IFERROR(INDEX(بيانات!$B$3:$B$202,MATCH(29,$V$3:$V$202,0))&amp;" "&amp;INDEX(بيانات!$C$3:$C$202,MATCH(29,$V$3:$V$202,0)),"")</f>
        <v/>
      </c>
      <c r="O34" s="41">
        <f>IFERROR(INDEX(بيانات!$H$3:$H$202,MATCH(29,$V$3:$V$202,0)),"")</f>
        <v/>
      </c>
      <c r="S34">
        <f>IF(AND(بيانات!$B34&lt;&gt;"",بيانات!$G34="ذكر",بيانات!$H34&lt;13),COUNTA($S$3:S34),"")</f>
        <v/>
      </c>
      <c r="T34">
        <f>IF(AND(بيانات!$B34&lt;&gt;"",بيانات!$G34="أنثى",بيانات!$H34&lt;13),COUNTA($T$3:T34),"")</f>
        <v/>
      </c>
      <c r="U34">
        <f>IF(AND(بيانات!$B34&lt;&gt;"",بيانات!$G34="ذكر",بيانات!$H34&gt;=13),COUNTA($U$3:U34),"")</f>
        <v/>
      </c>
      <c r="V34">
        <f>IF(AND(بيانات!$B34&lt;&gt;"",بيانات!$G34="أنثى",بيانات!$H34&gt;=13),COUNTA($V$3:V34),"")</f>
        <v/>
      </c>
    </row>
    <row r="35">
      <c r="A35" s="41">
        <f>IFERROR(INDEX(بيانات!$A$3:$A$202,MATCH(30,$S$3:$S$202,0)),"")</f>
        <v/>
      </c>
      <c r="B35" s="41">
        <f>IFERROR(INDEX(بيانات!$B$3:$B$202,MATCH(30,$S$3:$S$202,0))&amp;" "&amp;INDEX(بيانات!$C$3:$C$202,MATCH(30,$S$3:$S$202,0)),"")</f>
        <v/>
      </c>
      <c r="C35" s="41">
        <f>IFERROR(INDEX(بيانات!$H$3:$H$202,MATCH(30,$S$3:$S$202,0)),"")</f>
        <v/>
      </c>
      <c r="E35" s="41">
        <f>IFERROR(INDEX(بيانات!$A$3:$A$202,MATCH(30,$T$3:$T$202,0)),"")</f>
        <v/>
      </c>
      <c r="F35" s="41">
        <f>IFERROR(INDEX(بيانات!$B$3:$B$202,MATCH(30,$T$3:$T$202,0))&amp;" "&amp;INDEX(بيانات!$C$3:$C$202,MATCH(30,$T$3:$T$202,0)),"")</f>
        <v/>
      </c>
      <c r="G35" s="41">
        <f>IFERROR(INDEX(بيانات!$H$3:$H$202,MATCH(30,$T$3:$T$202,0)),"")</f>
        <v/>
      </c>
      <c r="I35" s="41">
        <f>IFERROR(INDEX(بيانات!$A$3:$A$202,MATCH(30,$U$3:$U$202,0)),"")</f>
        <v/>
      </c>
      <c r="J35" s="41">
        <f>IFERROR(INDEX(بيانات!$B$3:$B$202,MATCH(30,$U$3:$U$202,0))&amp;" "&amp;INDEX(بيانات!$C$3:$C$202,MATCH(30,$U$3:$U$202,0)),"")</f>
        <v/>
      </c>
      <c r="K35" s="41">
        <f>IFERROR(INDEX(بيانات!$H$3:$H$202,MATCH(30,$U$3:$U$202,0)),"")</f>
        <v/>
      </c>
      <c r="M35" s="41">
        <f>IFERROR(INDEX(بيانات!$A$3:$A$202,MATCH(30,$V$3:$V$202,0)),"")</f>
        <v/>
      </c>
      <c r="N35" s="41">
        <f>IFERROR(INDEX(بيانات!$B$3:$B$202,MATCH(30,$V$3:$V$202,0))&amp;" "&amp;INDEX(بيانات!$C$3:$C$202,MATCH(30,$V$3:$V$202,0)),"")</f>
        <v/>
      </c>
      <c r="O35" s="41">
        <f>IFERROR(INDEX(بيانات!$H$3:$H$202,MATCH(30,$V$3:$V$202,0)),"")</f>
        <v/>
      </c>
      <c r="S35">
        <f>IF(AND(بيانات!$B35&lt;&gt;"",بيانات!$G35="ذكر",بيانات!$H35&lt;13),COUNTA($S$3:S35),"")</f>
        <v/>
      </c>
      <c r="T35">
        <f>IF(AND(بيانات!$B35&lt;&gt;"",بيانات!$G35="أنثى",بيانات!$H35&lt;13),COUNTA($T$3:T35),"")</f>
        <v/>
      </c>
      <c r="U35">
        <f>IF(AND(بيانات!$B35&lt;&gt;"",بيانات!$G35="ذكر",بيانات!$H35&gt;=13),COUNTA($U$3:U35),"")</f>
        <v/>
      </c>
      <c r="V35">
        <f>IF(AND(بيانات!$B35&lt;&gt;"",بيانات!$G35="أنثى",بيانات!$H35&gt;=13),COUNTA($V$3:V35),"")</f>
        <v/>
      </c>
    </row>
    <row r="36">
      <c r="A36" s="41">
        <f>IFERROR(INDEX(بيانات!$A$3:$A$202,MATCH(31,$S$3:$S$202,0)),"")</f>
        <v/>
      </c>
      <c r="B36" s="41">
        <f>IFERROR(INDEX(بيانات!$B$3:$B$202,MATCH(31,$S$3:$S$202,0))&amp;" "&amp;INDEX(بيانات!$C$3:$C$202,MATCH(31,$S$3:$S$202,0)),"")</f>
        <v/>
      </c>
      <c r="C36" s="41">
        <f>IFERROR(INDEX(بيانات!$H$3:$H$202,MATCH(31,$S$3:$S$202,0)),"")</f>
        <v/>
      </c>
      <c r="E36" s="41">
        <f>IFERROR(INDEX(بيانات!$A$3:$A$202,MATCH(31,$T$3:$T$202,0)),"")</f>
        <v/>
      </c>
      <c r="F36" s="41">
        <f>IFERROR(INDEX(بيانات!$B$3:$B$202,MATCH(31,$T$3:$T$202,0))&amp;" "&amp;INDEX(بيانات!$C$3:$C$202,MATCH(31,$T$3:$T$202,0)),"")</f>
        <v/>
      </c>
      <c r="G36" s="41">
        <f>IFERROR(INDEX(بيانات!$H$3:$H$202,MATCH(31,$T$3:$T$202,0)),"")</f>
        <v/>
      </c>
      <c r="I36" s="41">
        <f>IFERROR(INDEX(بيانات!$A$3:$A$202,MATCH(31,$U$3:$U$202,0)),"")</f>
        <v/>
      </c>
      <c r="J36" s="41">
        <f>IFERROR(INDEX(بيانات!$B$3:$B$202,MATCH(31,$U$3:$U$202,0))&amp;" "&amp;INDEX(بيانات!$C$3:$C$202,MATCH(31,$U$3:$U$202,0)),"")</f>
        <v/>
      </c>
      <c r="K36" s="41">
        <f>IFERROR(INDEX(بيانات!$H$3:$H$202,MATCH(31,$U$3:$U$202,0)),"")</f>
        <v/>
      </c>
      <c r="M36" s="41">
        <f>IFERROR(INDEX(بيانات!$A$3:$A$202,MATCH(31,$V$3:$V$202,0)),"")</f>
        <v/>
      </c>
      <c r="N36" s="41">
        <f>IFERROR(INDEX(بيانات!$B$3:$B$202,MATCH(31,$V$3:$V$202,0))&amp;" "&amp;INDEX(بيانات!$C$3:$C$202,MATCH(31,$V$3:$V$202,0)),"")</f>
        <v/>
      </c>
      <c r="O36" s="41">
        <f>IFERROR(INDEX(بيانات!$H$3:$H$202,MATCH(31,$V$3:$V$202,0)),"")</f>
        <v/>
      </c>
      <c r="S36">
        <f>IF(AND(بيانات!$B36&lt;&gt;"",بيانات!$G36="ذكر",بيانات!$H36&lt;13),COUNTA($S$3:S36),"")</f>
        <v/>
      </c>
      <c r="T36">
        <f>IF(AND(بيانات!$B36&lt;&gt;"",بيانات!$G36="أنثى",بيانات!$H36&lt;13),COUNTA($T$3:T36),"")</f>
        <v/>
      </c>
      <c r="U36">
        <f>IF(AND(بيانات!$B36&lt;&gt;"",بيانات!$G36="ذكر",بيانات!$H36&gt;=13),COUNTA($U$3:U36),"")</f>
        <v/>
      </c>
      <c r="V36">
        <f>IF(AND(بيانات!$B36&lt;&gt;"",بيانات!$G36="أنثى",بيانات!$H36&gt;=13),COUNTA($V$3:V36),"")</f>
        <v/>
      </c>
    </row>
    <row r="37">
      <c r="A37" s="41">
        <f>IFERROR(INDEX(بيانات!$A$3:$A$202,MATCH(32,$S$3:$S$202,0)),"")</f>
        <v/>
      </c>
      <c r="B37" s="41">
        <f>IFERROR(INDEX(بيانات!$B$3:$B$202,MATCH(32,$S$3:$S$202,0))&amp;" "&amp;INDEX(بيانات!$C$3:$C$202,MATCH(32,$S$3:$S$202,0)),"")</f>
        <v/>
      </c>
      <c r="C37" s="41">
        <f>IFERROR(INDEX(بيانات!$H$3:$H$202,MATCH(32,$S$3:$S$202,0)),"")</f>
        <v/>
      </c>
      <c r="E37" s="41">
        <f>IFERROR(INDEX(بيانات!$A$3:$A$202,MATCH(32,$T$3:$T$202,0)),"")</f>
        <v/>
      </c>
      <c r="F37" s="41">
        <f>IFERROR(INDEX(بيانات!$B$3:$B$202,MATCH(32,$T$3:$T$202,0))&amp;" "&amp;INDEX(بيانات!$C$3:$C$202,MATCH(32,$T$3:$T$202,0)),"")</f>
        <v/>
      </c>
      <c r="G37" s="41">
        <f>IFERROR(INDEX(بيانات!$H$3:$H$202,MATCH(32,$T$3:$T$202,0)),"")</f>
        <v/>
      </c>
      <c r="I37" s="41">
        <f>IFERROR(INDEX(بيانات!$A$3:$A$202,MATCH(32,$U$3:$U$202,0)),"")</f>
        <v/>
      </c>
      <c r="J37" s="41">
        <f>IFERROR(INDEX(بيانات!$B$3:$B$202,MATCH(32,$U$3:$U$202,0))&amp;" "&amp;INDEX(بيانات!$C$3:$C$202,MATCH(32,$U$3:$U$202,0)),"")</f>
        <v/>
      </c>
      <c r="K37" s="41">
        <f>IFERROR(INDEX(بيانات!$H$3:$H$202,MATCH(32,$U$3:$U$202,0)),"")</f>
        <v/>
      </c>
      <c r="M37" s="41">
        <f>IFERROR(INDEX(بيانات!$A$3:$A$202,MATCH(32,$V$3:$V$202,0)),"")</f>
        <v/>
      </c>
      <c r="N37" s="41">
        <f>IFERROR(INDEX(بيانات!$B$3:$B$202,MATCH(32,$V$3:$V$202,0))&amp;" "&amp;INDEX(بيانات!$C$3:$C$202,MATCH(32,$V$3:$V$202,0)),"")</f>
        <v/>
      </c>
      <c r="O37" s="41">
        <f>IFERROR(INDEX(بيانات!$H$3:$H$202,MATCH(32,$V$3:$V$202,0)),"")</f>
        <v/>
      </c>
      <c r="S37">
        <f>IF(AND(بيانات!$B37&lt;&gt;"",بيانات!$G37="ذكر",بيانات!$H37&lt;13),COUNTA($S$3:S37),"")</f>
        <v/>
      </c>
      <c r="T37">
        <f>IF(AND(بيانات!$B37&lt;&gt;"",بيانات!$G37="أنثى",بيانات!$H37&lt;13),COUNTA($T$3:T37),"")</f>
        <v/>
      </c>
      <c r="U37">
        <f>IF(AND(بيانات!$B37&lt;&gt;"",بيانات!$G37="ذكر",بيانات!$H37&gt;=13),COUNTA($U$3:U37),"")</f>
        <v/>
      </c>
      <c r="V37">
        <f>IF(AND(بيانات!$B37&lt;&gt;"",بيانات!$G37="أنثى",بيانات!$H37&gt;=13),COUNTA($V$3:V37),"")</f>
        <v/>
      </c>
    </row>
    <row r="38">
      <c r="A38" s="41">
        <f>IFERROR(INDEX(بيانات!$A$3:$A$202,MATCH(33,$S$3:$S$202,0)),"")</f>
        <v/>
      </c>
      <c r="B38" s="41">
        <f>IFERROR(INDEX(بيانات!$B$3:$B$202,MATCH(33,$S$3:$S$202,0))&amp;" "&amp;INDEX(بيانات!$C$3:$C$202,MATCH(33,$S$3:$S$202,0)),"")</f>
        <v/>
      </c>
      <c r="C38" s="41">
        <f>IFERROR(INDEX(بيانات!$H$3:$H$202,MATCH(33,$S$3:$S$202,0)),"")</f>
        <v/>
      </c>
      <c r="E38" s="41">
        <f>IFERROR(INDEX(بيانات!$A$3:$A$202,MATCH(33,$T$3:$T$202,0)),"")</f>
        <v/>
      </c>
      <c r="F38" s="41">
        <f>IFERROR(INDEX(بيانات!$B$3:$B$202,MATCH(33,$T$3:$T$202,0))&amp;" "&amp;INDEX(بيانات!$C$3:$C$202,MATCH(33,$T$3:$T$202,0)),"")</f>
        <v/>
      </c>
      <c r="G38" s="41">
        <f>IFERROR(INDEX(بيانات!$H$3:$H$202,MATCH(33,$T$3:$T$202,0)),"")</f>
        <v/>
      </c>
      <c r="I38" s="41">
        <f>IFERROR(INDEX(بيانات!$A$3:$A$202,MATCH(33,$U$3:$U$202,0)),"")</f>
        <v/>
      </c>
      <c r="J38" s="41">
        <f>IFERROR(INDEX(بيانات!$B$3:$B$202,MATCH(33,$U$3:$U$202,0))&amp;" "&amp;INDEX(بيانات!$C$3:$C$202,MATCH(33,$U$3:$U$202,0)),"")</f>
        <v/>
      </c>
      <c r="K38" s="41">
        <f>IFERROR(INDEX(بيانات!$H$3:$H$202,MATCH(33,$U$3:$U$202,0)),"")</f>
        <v/>
      </c>
      <c r="M38" s="41">
        <f>IFERROR(INDEX(بيانات!$A$3:$A$202,MATCH(33,$V$3:$V$202,0)),"")</f>
        <v/>
      </c>
      <c r="N38" s="41">
        <f>IFERROR(INDEX(بيانات!$B$3:$B$202,MATCH(33,$V$3:$V$202,0))&amp;" "&amp;INDEX(بيانات!$C$3:$C$202,MATCH(33,$V$3:$V$202,0)),"")</f>
        <v/>
      </c>
      <c r="O38" s="41">
        <f>IFERROR(INDEX(بيانات!$H$3:$H$202,MATCH(33,$V$3:$V$202,0)),"")</f>
        <v/>
      </c>
      <c r="S38">
        <f>IF(AND(بيانات!$B38&lt;&gt;"",بيانات!$G38="ذكر",بيانات!$H38&lt;13),COUNTA($S$3:S38),"")</f>
        <v/>
      </c>
      <c r="T38">
        <f>IF(AND(بيانات!$B38&lt;&gt;"",بيانات!$G38="أنثى",بيانات!$H38&lt;13),COUNTA($T$3:T38),"")</f>
        <v/>
      </c>
      <c r="U38">
        <f>IF(AND(بيانات!$B38&lt;&gt;"",بيانات!$G38="ذكر",بيانات!$H38&gt;=13),COUNTA($U$3:U38),"")</f>
        <v/>
      </c>
      <c r="V38">
        <f>IF(AND(بيانات!$B38&lt;&gt;"",بيانات!$G38="أنثى",بيانات!$H38&gt;=13),COUNTA($V$3:V38),"")</f>
        <v/>
      </c>
    </row>
    <row r="39">
      <c r="A39" s="41">
        <f>IFERROR(INDEX(بيانات!$A$3:$A$202,MATCH(34,$S$3:$S$202,0)),"")</f>
        <v/>
      </c>
      <c r="B39" s="41">
        <f>IFERROR(INDEX(بيانات!$B$3:$B$202,MATCH(34,$S$3:$S$202,0))&amp;" "&amp;INDEX(بيانات!$C$3:$C$202,MATCH(34,$S$3:$S$202,0)),"")</f>
        <v/>
      </c>
      <c r="C39" s="41">
        <f>IFERROR(INDEX(بيانات!$H$3:$H$202,MATCH(34,$S$3:$S$202,0)),"")</f>
        <v/>
      </c>
      <c r="E39" s="41">
        <f>IFERROR(INDEX(بيانات!$A$3:$A$202,MATCH(34,$T$3:$T$202,0)),"")</f>
        <v/>
      </c>
      <c r="F39" s="41">
        <f>IFERROR(INDEX(بيانات!$B$3:$B$202,MATCH(34,$T$3:$T$202,0))&amp;" "&amp;INDEX(بيانات!$C$3:$C$202,MATCH(34,$T$3:$T$202,0)),"")</f>
        <v/>
      </c>
      <c r="G39" s="41">
        <f>IFERROR(INDEX(بيانات!$H$3:$H$202,MATCH(34,$T$3:$T$202,0)),"")</f>
        <v/>
      </c>
      <c r="I39" s="41">
        <f>IFERROR(INDEX(بيانات!$A$3:$A$202,MATCH(34,$U$3:$U$202,0)),"")</f>
        <v/>
      </c>
      <c r="J39" s="41">
        <f>IFERROR(INDEX(بيانات!$B$3:$B$202,MATCH(34,$U$3:$U$202,0))&amp;" "&amp;INDEX(بيانات!$C$3:$C$202,MATCH(34,$U$3:$U$202,0)),"")</f>
        <v/>
      </c>
      <c r="K39" s="41">
        <f>IFERROR(INDEX(بيانات!$H$3:$H$202,MATCH(34,$U$3:$U$202,0)),"")</f>
        <v/>
      </c>
      <c r="M39" s="41">
        <f>IFERROR(INDEX(بيانات!$A$3:$A$202,MATCH(34,$V$3:$V$202,0)),"")</f>
        <v/>
      </c>
      <c r="N39" s="41">
        <f>IFERROR(INDEX(بيانات!$B$3:$B$202,MATCH(34,$V$3:$V$202,0))&amp;" "&amp;INDEX(بيانات!$C$3:$C$202,MATCH(34,$V$3:$V$202,0)),"")</f>
        <v/>
      </c>
      <c r="O39" s="41">
        <f>IFERROR(INDEX(بيانات!$H$3:$H$202,MATCH(34,$V$3:$V$202,0)),"")</f>
        <v/>
      </c>
      <c r="S39">
        <f>IF(AND(بيانات!$B39&lt;&gt;"",بيانات!$G39="ذكر",بيانات!$H39&lt;13),COUNTA($S$3:S39),"")</f>
        <v/>
      </c>
      <c r="T39">
        <f>IF(AND(بيانات!$B39&lt;&gt;"",بيانات!$G39="أنثى",بيانات!$H39&lt;13),COUNTA($T$3:T39),"")</f>
        <v/>
      </c>
      <c r="U39">
        <f>IF(AND(بيانات!$B39&lt;&gt;"",بيانات!$G39="ذكر",بيانات!$H39&gt;=13),COUNTA($U$3:U39),"")</f>
        <v/>
      </c>
      <c r="V39">
        <f>IF(AND(بيانات!$B39&lt;&gt;"",بيانات!$G39="أنثى",بيانات!$H39&gt;=13),COUNTA($V$3:V39),"")</f>
        <v/>
      </c>
    </row>
    <row r="40">
      <c r="A40" s="41">
        <f>IFERROR(INDEX(بيانات!$A$3:$A$202,MATCH(35,$S$3:$S$202,0)),"")</f>
        <v/>
      </c>
      <c r="B40" s="41">
        <f>IFERROR(INDEX(بيانات!$B$3:$B$202,MATCH(35,$S$3:$S$202,0))&amp;" "&amp;INDEX(بيانات!$C$3:$C$202,MATCH(35,$S$3:$S$202,0)),"")</f>
        <v/>
      </c>
      <c r="C40" s="41">
        <f>IFERROR(INDEX(بيانات!$H$3:$H$202,MATCH(35,$S$3:$S$202,0)),"")</f>
        <v/>
      </c>
      <c r="E40" s="41">
        <f>IFERROR(INDEX(بيانات!$A$3:$A$202,MATCH(35,$T$3:$T$202,0)),"")</f>
        <v/>
      </c>
      <c r="F40" s="41">
        <f>IFERROR(INDEX(بيانات!$B$3:$B$202,MATCH(35,$T$3:$T$202,0))&amp;" "&amp;INDEX(بيانات!$C$3:$C$202,MATCH(35,$T$3:$T$202,0)),"")</f>
        <v/>
      </c>
      <c r="G40" s="41">
        <f>IFERROR(INDEX(بيانات!$H$3:$H$202,MATCH(35,$T$3:$T$202,0)),"")</f>
        <v/>
      </c>
      <c r="I40" s="41">
        <f>IFERROR(INDEX(بيانات!$A$3:$A$202,MATCH(35,$U$3:$U$202,0)),"")</f>
        <v/>
      </c>
      <c r="J40" s="41">
        <f>IFERROR(INDEX(بيانات!$B$3:$B$202,MATCH(35,$U$3:$U$202,0))&amp;" "&amp;INDEX(بيانات!$C$3:$C$202,MATCH(35,$U$3:$U$202,0)),"")</f>
        <v/>
      </c>
      <c r="K40" s="41">
        <f>IFERROR(INDEX(بيانات!$H$3:$H$202,MATCH(35,$U$3:$U$202,0)),"")</f>
        <v/>
      </c>
      <c r="M40" s="41">
        <f>IFERROR(INDEX(بيانات!$A$3:$A$202,MATCH(35,$V$3:$V$202,0)),"")</f>
        <v/>
      </c>
      <c r="N40" s="41">
        <f>IFERROR(INDEX(بيانات!$B$3:$B$202,MATCH(35,$V$3:$V$202,0))&amp;" "&amp;INDEX(بيانات!$C$3:$C$202,MATCH(35,$V$3:$V$202,0)),"")</f>
        <v/>
      </c>
      <c r="O40" s="41">
        <f>IFERROR(INDEX(بيانات!$H$3:$H$202,MATCH(35,$V$3:$V$202,0)),"")</f>
        <v/>
      </c>
      <c r="S40">
        <f>IF(AND(بيانات!$B40&lt;&gt;"",بيانات!$G40="ذكر",بيانات!$H40&lt;13),COUNTA($S$3:S40),"")</f>
        <v/>
      </c>
      <c r="T40">
        <f>IF(AND(بيانات!$B40&lt;&gt;"",بيانات!$G40="أنثى",بيانات!$H40&lt;13),COUNTA($T$3:T40),"")</f>
        <v/>
      </c>
      <c r="U40">
        <f>IF(AND(بيانات!$B40&lt;&gt;"",بيانات!$G40="ذكر",بيانات!$H40&gt;=13),COUNTA($U$3:U40),"")</f>
        <v/>
      </c>
      <c r="V40">
        <f>IF(AND(بيانات!$B40&lt;&gt;"",بيانات!$G40="أنثى",بيانات!$H40&gt;=13),COUNTA($V$3:V40),"")</f>
        <v/>
      </c>
    </row>
    <row r="41">
      <c r="A41" s="41">
        <f>IFERROR(INDEX(بيانات!$A$3:$A$202,MATCH(36,$S$3:$S$202,0)),"")</f>
        <v/>
      </c>
      <c r="B41" s="41">
        <f>IFERROR(INDEX(بيانات!$B$3:$B$202,MATCH(36,$S$3:$S$202,0))&amp;" "&amp;INDEX(بيانات!$C$3:$C$202,MATCH(36,$S$3:$S$202,0)),"")</f>
        <v/>
      </c>
      <c r="C41" s="41">
        <f>IFERROR(INDEX(بيانات!$H$3:$H$202,MATCH(36,$S$3:$S$202,0)),"")</f>
        <v/>
      </c>
      <c r="E41" s="41">
        <f>IFERROR(INDEX(بيانات!$A$3:$A$202,MATCH(36,$T$3:$T$202,0)),"")</f>
        <v/>
      </c>
      <c r="F41" s="41">
        <f>IFERROR(INDEX(بيانات!$B$3:$B$202,MATCH(36,$T$3:$T$202,0))&amp;" "&amp;INDEX(بيانات!$C$3:$C$202,MATCH(36,$T$3:$T$202,0)),"")</f>
        <v/>
      </c>
      <c r="G41" s="41">
        <f>IFERROR(INDEX(بيانات!$H$3:$H$202,MATCH(36,$T$3:$T$202,0)),"")</f>
        <v/>
      </c>
      <c r="I41" s="41">
        <f>IFERROR(INDEX(بيانات!$A$3:$A$202,MATCH(36,$U$3:$U$202,0)),"")</f>
        <v/>
      </c>
      <c r="J41" s="41">
        <f>IFERROR(INDEX(بيانات!$B$3:$B$202,MATCH(36,$U$3:$U$202,0))&amp;" "&amp;INDEX(بيانات!$C$3:$C$202,MATCH(36,$U$3:$U$202,0)),"")</f>
        <v/>
      </c>
      <c r="K41" s="41">
        <f>IFERROR(INDEX(بيانات!$H$3:$H$202,MATCH(36,$U$3:$U$202,0)),"")</f>
        <v/>
      </c>
      <c r="M41" s="41">
        <f>IFERROR(INDEX(بيانات!$A$3:$A$202,MATCH(36,$V$3:$V$202,0)),"")</f>
        <v/>
      </c>
      <c r="N41" s="41">
        <f>IFERROR(INDEX(بيانات!$B$3:$B$202,MATCH(36,$V$3:$V$202,0))&amp;" "&amp;INDEX(بيانات!$C$3:$C$202,MATCH(36,$V$3:$V$202,0)),"")</f>
        <v/>
      </c>
      <c r="O41" s="41">
        <f>IFERROR(INDEX(بيانات!$H$3:$H$202,MATCH(36,$V$3:$V$202,0)),"")</f>
        <v/>
      </c>
      <c r="S41">
        <f>IF(AND(بيانات!$B41&lt;&gt;"",بيانات!$G41="ذكر",بيانات!$H41&lt;13),COUNTA($S$3:S41),"")</f>
        <v/>
      </c>
      <c r="T41">
        <f>IF(AND(بيانات!$B41&lt;&gt;"",بيانات!$G41="أنثى",بيانات!$H41&lt;13),COUNTA($T$3:T41),"")</f>
        <v/>
      </c>
      <c r="U41">
        <f>IF(AND(بيانات!$B41&lt;&gt;"",بيانات!$G41="ذكر",بيانات!$H41&gt;=13),COUNTA($U$3:U41),"")</f>
        <v/>
      </c>
      <c r="V41">
        <f>IF(AND(بيانات!$B41&lt;&gt;"",بيانات!$G41="أنثى",بيانات!$H41&gt;=13),COUNTA($V$3:V41),"")</f>
        <v/>
      </c>
    </row>
    <row r="42">
      <c r="A42" s="41">
        <f>IFERROR(INDEX(بيانات!$A$3:$A$202,MATCH(37,$S$3:$S$202,0)),"")</f>
        <v/>
      </c>
      <c r="B42" s="41">
        <f>IFERROR(INDEX(بيانات!$B$3:$B$202,MATCH(37,$S$3:$S$202,0))&amp;" "&amp;INDEX(بيانات!$C$3:$C$202,MATCH(37,$S$3:$S$202,0)),"")</f>
        <v/>
      </c>
      <c r="C42" s="41">
        <f>IFERROR(INDEX(بيانات!$H$3:$H$202,MATCH(37,$S$3:$S$202,0)),"")</f>
        <v/>
      </c>
      <c r="E42" s="41">
        <f>IFERROR(INDEX(بيانات!$A$3:$A$202,MATCH(37,$T$3:$T$202,0)),"")</f>
        <v/>
      </c>
      <c r="F42" s="41">
        <f>IFERROR(INDEX(بيانات!$B$3:$B$202,MATCH(37,$T$3:$T$202,0))&amp;" "&amp;INDEX(بيانات!$C$3:$C$202,MATCH(37,$T$3:$T$202,0)),"")</f>
        <v/>
      </c>
      <c r="G42" s="41">
        <f>IFERROR(INDEX(بيانات!$H$3:$H$202,MATCH(37,$T$3:$T$202,0)),"")</f>
        <v/>
      </c>
      <c r="I42" s="41">
        <f>IFERROR(INDEX(بيانات!$A$3:$A$202,MATCH(37,$U$3:$U$202,0)),"")</f>
        <v/>
      </c>
      <c r="J42" s="41">
        <f>IFERROR(INDEX(بيانات!$B$3:$B$202,MATCH(37,$U$3:$U$202,0))&amp;" "&amp;INDEX(بيانات!$C$3:$C$202,MATCH(37,$U$3:$U$202,0)),"")</f>
        <v/>
      </c>
      <c r="K42" s="41">
        <f>IFERROR(INDEX(بيانات!$H$3:$H$202,MATCH(37,$U$3:$U$202,0)),"")</f>
        <v/>
      </c>
      <c r="M42" s="41">
        <f>IFERROR(INDEX(بيانات!$A$3:$A$202,MATCH(37,$V$3:$V$202,0)),"")</f>
        <v/>
      </c>
      <c r="N42" s="41">
        <f>IFERROR(INDEX(بيانات!$B$3:$B$202,MATCH(37,$V$3:$V$202,0))&amp;" "&amp;INDEX(بيانات!$C$3:$C$202,MATCH(37,$V$3:$V$202,0)),"")</f>
        <v/>
      </c>
      <c r="O42" s="41">
        <f>IFERROR(INDEX(بيانات!$H$3:$H$202,MATCH(37,$V$3:$V$202,0)),"")</f>
        <v/>
      </c>
      <c r="S42">
        <f>IF(AND(بيانات!$B42&lt;&gt;"",بيانات!$G42="ذكر",بيانات!$H42&lt;13),COUNTA($S$3:S42),"")</f>
        <v/>
      </c>
      <c r="T42">
        <f>IF(AND(بيانات!$B42&lt;&gt;"",بيانات!$G42="أنثى",بيانات!$H42&lt;13),COUNTA($T$3:T42),"")</f>
        <v/>
      </c>
      <c r="U42">
        <f>IF(AND(بيانات!$B42&lt;&gt;"",بيانات!$G42="ذكر",بيانات!$H42&gt;=13),COUNTA($U$3:U42),"")</f>
        <v/>
      </c>
      <c r="V42">
        <f>IF(AND(بيانات!$B42&lt;&gt;"",بيانات!$G42="أنثى",بيانات!$H42&gt;=13),COUNTA($V$3:V42),"")</f>
        <v/>
      </c>
    </row>
    <row r="43">
      <c r="A43" s="41">
        <f>IFERROR(INDEX(بيانات!$A$3:$A$202,MATCH(38,$S$3:$S$202,0)),"")</f>
        <v/>
      </c>
      <c r="B43" s="41">
        <f>IFERROR(INDEX(بيانات!$B$3:$B$202,MATCH(38,$S$3:$S$202,0))&amp;" "&amp;INDEX(بيانات!$C$3:$C$202,MATCH(38,$S$3:$S$202,0)),"")</f>
        <v/>
      </c>
      <c r="C43" s="41">
        <f>IFERROR(INDEX(بيانات!$H$3:$H$202,MATCH(38,$S$3:$S$202,0)),"")</f>
        <v/>
      </c>
      <c r="E43" s="41">
        <f>IFERROR(INDEX(بيانات!$A$3:$A$202,MATCH(38,$T$3:$T$202,0)),"")</f>
        <v/>
      </c>
      <c r="F43" s="41">
        <f>IFERROR(INDEX(بيانات!$B$3:$B$202,MATCH(38,$T$3:$T$202,0))&amp;" "&amp;INDEX(بيانات!$C$3:$C$202,MATCH(38,$T$3:$T$202,0)),"")</f>
        <v/>
      </c>
      <c r="G43" s="41">
        <f>IFERROR(INDEX(بيانات!$H$3:$H$202,MATCH(38,$T$3:$T$202,0)),"")</f>
        <v/>
      </c>
      <c r="I43" s="41">
        <f>IFERROR(INDEX(بيانات!$A$3:$A$202,MATCH(38,$U$3:$U$202,0)),"")</f>
        <v/>
      </c>
      <c r="J43" s="41">
        <f>IFERROR(INDEX(بيانات!$B$3:$B$202,MATCH(38,$U$3:$U$202,0))&amp;" "&amp;INDEX(بيانات!$C$3:$C$202,MATCH(38,$U$3:$U$202,0)),"")</f>
        <v/>
      </c>
      <c r="K43" s="41">
        <f>IFERROR(INDEX(بيانات!$H$3:$H$202,MATCH(38,$U$3:$U$202,0)),"")</f>
        <v/>
      </c>
      <c r="M43" s="41">
        <f>IFERROR(INDEX(بيانات!$A$3:$A$202,MATCH(38,$V$3:$V$202,0)),"")</f>
        <v/>
      </c>
      <c r="N43" s="41">
        <f>IFERROR(INDEX(بيانات!$B$3:$B$202,MATCH(38,$V$3:$V$202,0))&amp;" "&amp;INDEX(بيانات!$C$3:$C$202,MATCH(38,$V$3:$V$202,0)),"")</f>
        <v/>
      </c>
      <c r="O43" s="41">
        <f>IFERROR(INDEX(بيانات!$H$3:$H$202,MATCH(38,$V$3:$V$202,0)),"")</f>
        <v/>
      </c>
      <c r="S43">
        <f>IF(AND(بيانات!$B43&lt;&gt;"",بيانات!$G43="ذكر",بيانات!$H43&lt;13),COUNTA($S$3:S43),"")</f>
        <v/>
      </c>
      <c r="T43">
        <f>IF(AND(بيانات!$B43&lt;&gt;"",بيانات!$G43="أنثى",بيانات!$H43&lt;13),COUNTA($T$3:T43),"")</f>
        <v/>
      </c>
      <c r="U43">
        <f>IF(AND(بيانات!$B43&lt;&gt;"",بيانات!$G43="ذكر",بيانات!$H43&gt;=13),COUNTA($U$3:U43),"")</f>
        <v/>
      </c>
      <c r="V43">
        <f>IF(AND(بيانات!$B43&lt;&gt;"",بيانات!$G43="أنثى",بيانات!$H43&gt;=13),COUNTA($V$3:V43),"")</f>
        <v/>
      </c>
    </row>
    <row r="44">
      <c r="A44" s="41">
        <f>IFERROR(INDEX(بيانات!$A$3:$A$202,MATCH(39,$S$3:$S$202,0)),"")</f>
        <v/>
      </c>
      <c r="B44" s="41">
        <f>IFERROR(INDEX(بيانات!$B$3:$B$202,MATCH(39,$S$3:$S$202,0))&amp;" "&amp;INDEX(بيانات!$C$3:$C$202,MATCH(39,$S$3:$S$202,0)),"")</f>
        <v/>
      </c>
      <c r="C44" s="41">
        <f>IFERROR(INDEX(بيانات!$H$3:$H$202,MATCH(39,$S$3:$S$202,0)),"")</f>
        <v/>
      </c>
      <c r="E44" s="41">
        <f>IFERROR(INDEX(بيانات!$A$3:$A$202,MATCH(39,$T$3:$T$202,0)),"")</f>
        <v/>
      </c>
      <c r="F44" s="41">
        <f>IFERROR(INDEX(بيانات!$B$3:$B$202,MATCH(39,$T$3:$T$202,0))&amp;" "&amp;INDEX(بيانات!$C$3:$C$202,MATCH(39,$T$3:$T$202,0)),"")</f>
        <v/>
      </c>
      <c r="G44" s="41">
        <f>IFERROR(INDEX(بيانات!$H$3:$H$202,MATCH(39,$T$3:$T$202,0)),"")</f>
        <v/>
      </c>
      <c r="I44" s="41">
        <f>IFERROR(INDEX(بيانات!$A$3:$A$202,MATCH(39,$U$3:$U$202,0)),"")</f>
        <v/>
      </c>
      <c r="J44" s="41">
        <f>IFERROR(INDEX(بيانات!$B$3:$B$202,MATCH(39,$U$3:$U$202,0))&amp;" "&amp;INDEX(بيانات!$C$3:$C$202,MATCH(39,$U$3:$U$202,0)),"")</f>
        <v/>
      </c>
      <c r="K44" s="41">
        <f>IFERROR(INDEX(بيانات!$H$3:$H$202,MATCH(39,$U$3:$U$202,0)),"")</f>
        <v/>
      </c>
      <c r="M44" s="41">
        <f>IFERROR(INDEX(بيانات!$A$3:$A$202,MATCH(39,$V$3:$V$202,0)),"")</f>
        <v/>
      </c>
      <c r="N44" s="41">
        <f>IFERROR(INDEX(بيانات!$B$3:$B$202,MATCH(39,$V$3:$V$202,0))&amp;" "&amp;INDEX(بيانات!$C$3:$C$202,MATCH(39,$V$3:$V$202,0)),"")</f>
        <v/>
      </c>
      <c r="O44" s="41">
        <f>IFERROR(INDEX(بيانات!$H$3:$H$202,MATCH(39,$V$3:$V$202,0)),"")</f>
        <v/>
      </c>
      <c r="S44">
        <f>IF(AND(بيانات!$B44&lt;&gt;"",بيانات!$G44="ذكر",بيانات!$H44&lt;13),COUNTA($S$3:S44),"")</f>
        <v/>
      </c>
      <c r="T44">
        <f>IF(AND(بيانات!$B44&lt;&gt;"",بيانات!$G44="أنثى",بيانات!$H44&lt;13),COUNTA($T$3:T44),"")</f>
        <v/>
      </c>
      <c r="U44">
        <f>IF(AND(بيانات!$B44&lt;&gt;"",بيانات!$G44="ذكر",بيانات!$H44&gt;=13),COUNTA($U$3:U44),"")</f>
        <v/>
      </c>
      <c r="V44">
        <f>IF(AND(بيانات!$B44&lt;&gt;"",بيانات!$G44="أنثى",بيانات!$H44&gt;=13),COUNTA($V$3:V44),"")</f>
        <v/>
      </c>
    </row>
    <row r="45">
      <c r="A45" s="41">
        <f>IFERROR(INDEX(بيانات!$A$3:$A$202,MATCH(40,$S$3:$S$202,0)),"")</f>
        <v/>
      </c>
      <c r="B45" s="41">
        <f>IFERROR(INDEX(بيانات!$B$3:$B$202,MATCH(40,$S$3:$S$202,0))&amp;" "&amp;INDEX(بيانات!$C$3:$C$202,MATCH(40,$S$3:$S$202,0)),"")</f>
        <v/>
      </c>
      <c r="C45" s="41">
        <f>IFERROR(INDEX(بيانات!$H$3:$H$202,MATCH(40,$S$3:$S$202,0)),"")</f>
        <v/>
      </c>
      <c r="E45" s="41">
        <f>IFERROR(INDEX(بيانات!$A$3:$A$202,MATCH(40,$T$3:$T$202,0)),"")</f>
        <v/>
      </c>
      <c r="F45" s="41">
        <f>IFERROR(INDEX(بيانات!$B$3:$B$202,MATCH(40,$T$3:$T$202,0))&amp;" "&amp;INDEX(بيانات!$C$3:$C$202,MATCH(40,$T$3:$T$202,0)),"")</f>
        <v/>
      </c>
      <c r="G45" s="41">
        <f>IFERROR(INDEX(بيانات!$H$3:$H$202,MATCH(40,$T$3:$T$202,0)),"")</f>
        <v/>
      </c>
      <c r="I45" s="41">
        <f>IFERROR(INDEX(بيانات!$A$3:$A$202,MATCH(40,$U$3:$U$202,0)),"")</f>
        <v/>
      </c>
      <c r="J45" s="41">
        <f>IFERROR(INDEX(بيانات!$B$3:$B$202,MATCH(40,$U$3:$U$202,0))&amp;" "&amp;INDEX(بيانات!$C$3:$C$202,MATCH(40,$U$3:$U$202,0)),"")</f>
        <v/>
      </c>
      <c r="K45" s="41">
        <f>IFERROR(INDEX(بيانات!$H$3:$H$202,MATCH(40,$U$3:$U$202,0)),"")</f>
        <v/>
      </c>
      <c r="M45" s="41">
        <f>IFERROR(INDEX(بيانات!$A$3:$A$202,MATCH(40,$V$3:$V$202,0)),"")</f>
        <v/>
      </c>
      <c r="N45" s="41">
        <f>IFERROR(INDEX(بيانات!$B$3:$B$202,MATCH(40,$V$3:$V$202,0))&amp;" "&amp;INDEX(بيانات!$C$3:$C$202,MATCH(40,$V$3:$V$202,0)),"")</f>
        <v/>
      </c>
      <c r="O45" s="41">
        <f>IFERROR(INDEX(بيانات!$H$3:$H$202,MATCH(40,$V$3:$V$202,0)),"")</f>
        <v/>
      </c>
      <c r="S45">
        <f>IF(AND(بيانات!$B45&lt;&gt;"",بيانات!$G45="ذكر",بيانات!$H45&lt;13),COUNTA($S$3:S45),"")</f>
        <v/>
      </c>
      <c r="T45">
        <f>IF(AND(بيانات!$B45&lt;&gt;"",بيانات!$G45="أنثى",بيانات!$H45&lt;13),COUNTA($T$3:T45),"")</f>
        <v/>
      </c>
      <c r="U45">
        <f>IF(AND(بيانات!$B45&lt;&gt;"",بيانات!$G45="ذكر",بيانات!$H45&gt;=13),COUNTA($U$3:U45),"")</f>
        <v/>
      </c>
      <c r="V45">
        <f>IF(AND(بيانات!$B45&lt;&gt;"",بيانات!$G45="أنثى",بيانات!$H45&gt;=13),COUNTA($V$3:V45),"")</f>
        <v/>
      </c>
    </row>
    <row r="46">
      <c r="A46" s="41">
        <f>IFERROR(INDEX(بيانات!$A$3:$A$202,MATCH(41,$S$3:$S$202,0)),"")</f>
        <v/>
      </c>
      <c r="B46" s="41">
        <f>IFERROR(INDEX(بيانات!$B$3:$B$202,MATCH(41,$S$3:$S$202,0))&amp;" "&amp;INDEX(بيانات!$C$3:$C$202,MATCH(41,$S$3:$S$202,0)),"")</f>
        <v/>
      </c>
      <c r="C46" s="41">
        <f>IFERROR(INDEX(بيانات!$H$3:$H$202,MATCH(41,$S$3:$S$202,0)),"")</f>
        <v/>
      </c>
      <c r="E46" s="41">
        <f>IFERROR(INDEX(بيانات!$A$3:$A$202,MATCH(41,$T$3:$T$202,0)),"")</f>
        <v/>
      </c>
      <c r="F46" s="41">
        <f>IFERROR(INDEX(بيانات!$B$3:$B$202,MATCH(41,$T$3:$T$202,0))&amp;" "&amp;INDEX(بيانات!$C$3:$C$202,MATCH(41,$T$3:$T$202,0)),"")</f>
        <v/>
      </c>
      <c r="G46" s="41">
        <f>IFERROR(INDEX(بيانات!$H$3:$H$202,MATCH(41,$T$3:$T$202,0)),"")</f>
        <v/>
      </c>
      <c r="I46" s="41">
        <f>IFERROR(INDEX(بيانات!$A$3:$A$202,MATCH(41,$U$3:$U$202,0)),"")</f>
        <v/>
      </c>
      <c r="J46" s="41">
        <f>IFERROR(INDEX(بيانات!$B$3:$B$202,MATCH(41,$U$3:$U$202,0))&amp;" "&amp;INDEX(بيانات!$C$3:$C$202,MATCH(41,$U$3:$U$202,0)),"")</f>
        <v/>
      </c>
      <c r="K46" s="41">
        <f>IFERROR(INDEX(بيانات!$H$3:$H$202,MATCH(41,$U$3:$U$202,0)),"")</f>
        <v/>
      </c>
      <c r="M46" s="41">
        <f>IFERROR(INDEX(بيانات!$A$3:$A$202,MATCH(41,$V$3:$V$202,0)),"")</f>
        <v/>
      </c>
      <c r="N46" s="41">
        <f>IFERROR(INDEX(بيانات!$B$3:$B$202,MATCH(41,$V$3:$V$202,0))&amp;" "&amp;INDEX(بيانات!$C$3:$C$202,MATCH(41,$V$3:$V$202,0)),"")</f>
        <v/>
      </c>
      <c r="O46" s="41">
        <f>IFERROR(INDEX(بيانات!$H$3:$H$202,MATCH(41,$V$3:$V$202,0)),"")</f>
        <v/>
      </c>
      <c r="S46">
        <f>IF(AND(بيانات!$B46&lt;&gt;"",بيانات!$G46="ذكر",بيانات!$H46&lt;13),COUNTA($S$3:S46),"")</f>
        <v/>
      </c>
      <c r="T46">
        <f>IF(AND(بيانات!$B46&lt;&gt;"",بيانات!$G46="أنثى",بيانات!$H46&lt;13),COUNTA($T$3:T46),"")</f>
        <v/>
      </c>
      <c r="U46">
        <f>IF(AND(بيانات!$B46&lt;&gt;"",بيانات!$G46="ذكر",بيانات!$H46&gt;=13),COUNTA($U$3:U46),"")</f>
        <v/>
      </c>
      <c r="V46">
        <f>IF(AND(بيانات!$B46&lt;&gt;"",بيانات!$G46="أنثى",بيانات!$H46&gt;=13),COUNTA($V$3:V46),"")</f>
        <v/>
      </c>
    </row>
    <row r="47">
      <c r="A47" s="41">
        <f>IFERROR(INDEX(بيانات!$A$3:$A$202,MATCH(42,$S$3:$S$202,0)),"")</f>
        <v/>
      </c>
      <c r="B47" s="41">
        <f>IFERROR(INDEX(بيانات!$B$3:$B$202,MATCH(42,$S$3:$S$202,0))&amp;" "&amp;INDEX(بيانات!$C$3:$C$202,MATCH(42,$S$3:$S$202,0)),"")</f>
        <v/>
      </c>
      <c r="C47" s="41">
        <f>IFERROR(INDEX(بيانات!$H$3:$H$202,MATCH(42,$S$3:$S$202,0)),"")</f>
        <v/>
      </c>
      <c r="E47" s="41">
        <f>IFERROR(INDEX(بيانات!$A$3:$A$202,MATCH(42,$T$3:$T$202,0)),"")</f>
        <v/>
      </c>
      <c r="F47" s="41">
        <f>IFERROR(INDEX(بيانات!$B$3:$B$202,MATCH(42,$T$3:$T$202,0))&amp;" "&amp;INDEX(بيانات!$C$3:$C$202,MATCH(42,$T$3:$T$202,0)),"")</f>
        <v/>
      </c>
      <c r="G47" s="41">
        <f>IFERROR(INDEX(بيانات!$H$3:$H$202,MATCH(42,$T$3:$T$202,0)),"")</f>
        <v/>
      </c>
      <c r="I47" s="41">
        <f>IFERROR(INDEX(بيانات!$A$3:$A$202,MATCH(42,$U$3:$U$202,0)),"")</f>
        <v/>
      </c>
      <c r="J47" s="41">
        <f>IFERROR(INDEX(بيانات!$B$3:$B$202,MATCH(42,$U$3:$U$202,0))&amp;" "&amp;INDEX(بيانات!$C$3:$C$202,MATCH(42,$U$3:$U$202,0)),"")</f>
        <v/>
      </c>
      <c r="K47" s="41">
        <f>IFERROR(INDEX(بيانات!$H$3:$H$202,MATCH(42,$U$3:$U$202,0)),"")</f>
        <v/>
      </c>
      <c r="M47" s="41">
        <f>IFERROR(INDEX(بيانات!$A$3:$A$202,MATCH(42,$V$3:$V$202,0)),"")</f>
        <v/>
      </c>
      <c r="N47" s="41">
        <f>IFERROR(INDEX(بيانات!$B$3:$B$202,MATCH(42,$V$3:$V$202,0))&amp;" "&amp;INDEX(بيانات!$C$3:$C$202,MATCH(42,$V$3:$V$202,0)),"")</f>
        <v/>
      </c>
      <c r="O47" s="41">
        <f>IFERROR(INDEX(بيانات!$H$3:$H$202,MATCH(42,$V$3:$V$202,0)),"")</f>
        <v/>
      </c>
      <c r="S47">
        <f>IF(AND(بيانات!$B47&lt;&gt;"",بيانات!$G47="ذكر",بيانات!$H47&lt;13),COUNTA($S$3:S47),"")</f>
        <v/>
      </c>
      <c r="T47">
        <f>IF(AND(بيانات!$B47&lt;&gt;"",بيانات!$G47="أنثى",بيانات!$H47&lt;13),COUNTA($T$3:T47),"")</f>
        <v/>
      </c>
      <c r="U47">
        <f>IF(AND(بيانات!$B47&lt;&gt;"",بيانات!$G47="ذكر",بيانات!$H47&gt;=13),COUNTA($U$3:U47),"")</f>
        <v/>
      </c>
      <c r="V47">
        <f>IF(AND(بيانات!$B47&lt;&gt;"",بيانات!$G47="أنثى",بيانات!$H47&gt;=13),COUNTA($V$3:V47),"")</f>
        <v/>
      </c>
    </row>
    <row r="48">
      <c r="A48" s="41">
        <f>IFERROR(INDEX(بيانات!$A$3:$A$202,MATCH(43,$S$3:$S$202,0)),"")</f>
        <v/>
      </c>
      <c r="B48" s="41">
        <f>IFERROR(INDEX(بيانات!$B$3:$B$202,MATCH(43,$S$3:$S$202,0))&amp;" "&amp;INDEX(بيانات!$C$3:$C$202,MATCH(43,$S$3:$S$202,0)),"")</f>
        <v/>
      </c>
      <c r="C48" s="41">
        <f>IFERROR(INDEX(بيانات!$H$3:$H$202,MATCH(43,$S$3:$S$202,0)),"")</f>
        <v/>
      </c>
      <c r="E48" s="41">
        <f>IFERROR(INDEX(بيانات!$A$3:$A$202,MATCH(43,$T$3:$T$202,0)),"")</f>
        <v/>
      </c>
      <c r="F48" s="41">
        <f>IFERROR(INDEX(بيانات!$B$3:$B$202,MATCH(43,$T$3:$T$202,0))&amp;" "&amp;INDEX(بيانات!$C$3:$C$202,MATCH(43,$T$3:$T$202,0)),"")</f>
        <v/>
      </c>
      <c r="G48" s="41">
        <f>IFERROR(INDEX(بيانات!$H$3:$H$202,MATCH(43,$T$3:$T$202,0)),"")</f>
        <v/>
      </c>
      <c r="I48" s="41">
        <f>IFERROR(INDEX(بيانات!$A$3:$A$202,MATCH(43,$U$3:$U$202,0)),"")</f>
        <v/>
      </c>
      <c r="J48" s="41">
        <f>IFERROR(INDEX(بيانات!$B$3:$B$202,MATCH(43,$U$3:$U$202,0))&amp;" "&amp;INDEX(بيانات!$C$3:$C$202,MATCH(43,$U$3:$U$202,0)),"")</f>
        <v/>
      </c>
      <c r="K48" s="41">
        <f>IFERROR(INDEX(بيانات!$H$3:$H$202,MATCH(43,$U$3:$U$202,0)),"")</f>
        <v/>
      </c>
      <c r="M48" s="41">
        <f>IFERROR(INDEX(بيانات!$A$3:$A$202,MATCH(43,$V$3:$V$202,0)),"")</f>
        <v/>
      </c>
      <c r="N48" s="41">
        <f>IFERROR(INDEX(بيانات!$B$3:$B$202,MATCH(43,$V$3:$V$202,0))&amp;" "&amp;INDEX(بيانات!$C$3:$C$202,MATCH(43,$V$3:$V$202,0)),"")</f>
        <v/>
      </c>
      <c r="O48" s="41">
        <f>IFERROR(INDEX(بيانات!$H$3:$H$202,MATCH(43,$V$3:$V$202,0)),"")</f>
        <v/>
      </c>
      <c r="S48">
        <f>IF(AND(بيانات!$B48&lt;&gt;"",بيانات!$G48="ذكر",بيانات!$H48&lt;13),COUNTA($S$3:S48),"")</f>
        <v/>
      </c>
      <c r="T48">
        <f>IF(AND(بيانات!$B48&lt;&gt;"",بيانات!$G48="أنثى",بيانات!$H48&lt;13),COUNTA($T$3:T48),"")</f>
        <v/>
      </c>
      <c r="U48">
        <f>IF(AND(بيانات!$B48&lt;&gt;"",بيانات!$G48="ذكر",بيانات!$H48&gt;=13),COUNTA($U$3:U48),"")</f>
        <v/>
      </c>
      <c r="V48">
        <f>IF(AND(بيانات!$B48&lt;&gt;"",بيانات!$G48="أنثى",بيانات!$H48&gt;=13),COUNTA($V$3:V48),"")</f>
        <v/>
      </c>
    </row>
    <row r="49">
      <c r="A49" s="41">
        <f>IFERROR(INDEX(بيانات!$A$3:$A$202,MATCH(44,$S$3:$S$202,0)),"")</f>
        <v/>
      </c>
      <c r="B49" s="41">
        <f>IFERROR(INDEX(بيانات!$B$3:$B$202,MATCH(44,$S$3:$S$202,0))&amp;" "&amp;INDEX(بيانات!$C$3:$C$202,MATCH(44,$S$3:$S$202,0)),"")</f>
        <v/>
      </c>
      <c r="C49" s="41">
        <f>IFERROR(INDEX(بيانات!$H$3:$H$202,MATCH(44,$S$3:$S$202,0)),"")</f>
        <v/>
      </c>
      <c r="E49" s="41">
        <f>IFERROR(INDEX(بيانات!$A$3:$A$202,MATCH(44,$T$3:$T$202,0)),"")</f>
        <v/>
      </c>
      <c r="F49" s="41">
        <f>IFERROR(INDEX(بيانات!$B$3:$B$202,MATCH(44,$T$3:$T$202,0))&amp;" "&amp;INDEX(بيانات!$C$3:$C$202,MATCH(44,$T$3:$T$202,0)),"")</f>
        <v/>
      </c>
      <c r="G49" s="41">
        <f>IFERROR(INDEX(بيانات!$H$3:$H$202,MATCH(44,$T$3:$T$202,0)),"")</f>
        <v/>
      </c>
      <c r="I49" s="41">
        <f>IFERROR(INDEX(بيانات!$A$3:$A$202,MATCH(44,$U$3:$U$202,0)),"")</f>
        <v/>
      </c>
      <c r="J49" s="41">
        <f>IFERROR(INDEX(بيانات!$B$3:$B$202,MATCH(44,$U$3:$U$202,0))&amp;" "&amp;INDEX(بيانات!$C$3:$C$202,MATCH(44,$U$3:$U$202,0)),"")</f>
        <v/>
      </c>
      <c r="K49" s="41">
        <f>IFERROR(INDEX(بيانات!$H$3:$H$202,MATCH(44,$U$3:$U$202,0)),"")</f>
        <v/>
      </c>
      <c r="M49" s="41">
        <f>IFERROR(INDEX(بيانات!$A$3:$A$202,MATCH(44,$V$3:$V$202,0)),"")</f>
        <v/>
      </c>
      <c r="N49" s="41">
        <f>IFERROR(INDEX(بيانات!$B$3:$B$202,MATCH(44,$V$3:$V$202,0))&amp;" "&amp;INDEX(بيانات!$C$3:$C$202,MATCH(44,$V$3:$V$202,0)),"")</f>
        <v/>
      </c>
      <c r="O49" s="41">
        <f>IFERROR(INDEX(بيانات!$H$3:$H$202,MATCH(44,$V$3:$V$202,0)),"")</f>
        <v/>
      </c>
      <c r="S49">
        <f>IF(AND(بيانات!$B49&lt;&gt;"",بيانات!$G49="ذكر",بيانات!$H49&lt;13),COUNTA($S$3:S49),"")</f>
        <v/>
      </c>
      <c r="T49">
        <f>IF(AND(بيانات!$B49&lt;&gt;"",بيانات!$G49="أنثى",بيانات!$H49&lt;13),COUNTA($T$3:T49),"")</f>
        <v/>
      </c>
      <c r="U49">
        <f>IF(AND(بيانات!$B49&lt;&gt;"",بيانات!$G49="ذكر",بيانات!$H49&gt;=13),COUNTA($U$3:U49),"")</f>
        <v/>
      </c>
      <c r="V49">
        <f>IF(AND(بيانات!$B49&lt;&gt;"",بيانات!$G49="أنثى",بيانات!$H49&gt;=13),COUNTA($V$3:V49),"")</f>
        <v/>
      </c>
    </row>
    <row r="50">
      <c r="A50" s="41">
        <f>IFERROR(INDEX(بيانات!$A$3:$A$202,MATCH(45,$S$3:$S$202,0)),"")</f>
        <v/>
      </c>
      <c r="B50" s="41">
        <f>IFERROR(INDEX(بيانات!$B$3:$B$202,MATCH(45,$S$3:$S$202,0))&amp;" "&amp;INDEX(بيانات!$C$3:$C$202,MATCH(45,$S$3:$S$202,0)),"")</f>
        <v/>
      </c>
      <c r="C50" s="41">
        <f>IFERROR(INDEX(بيانات!$H$3:$H$202,MATCH(45,$S$3:$S$202,0)),"")</f>
        <v/>
      </c>
      <c r="E50" s="41">
        <f>IFERROR(INDEX(بيانات!$A$3:$A$202,MATCH(45,$T$3:$T$202,0)),"")</f>
        <v/>
      </c>
      <c r="F50" s="41">
        <f>IFERROR(INDEX(بيانات!$B$3:$B$202,MATCH(45,$T$3:$T$202,0))&amp;" "&amp;INDEX(بيانات!$C$3:$C$202,MATCH(45,$T$3:$T$202,0)),"")</f>
        <v/>
      </c>
      <c r="G50" s="41">
        <f>IFERROR(INDEX(بيانات!$H$3:$H$202,MATCH(45,$T$3:$T$202,0)),"")</f>
        <v/>
      </c>
      <c r="I50" s="41">
        <f>IFERROR(INDEX(بيانات!$A$3:$A$202,MATCH(45,$U$3:$U$202,0)),"")</f>
        <v/>
      </c>
      <c r="J50" s="41">
        <f>IFERROR(INDEX(بيانات!$B$3:$B$202,MATCH(45,$U$3:$U$202,0))&amp;" "&amp;INDEX(بيانات!$C$3:$C$202,MATCH(45,$U$3:$U$202,0)),"")</f>
        <v/>
      </c>
      <c r="K50" s="41">
        <f>IFERROR(INDEX(بيانات!$H$3:$H$202,MATCH(45,$U$3:$U$202,0)),"")</f>
        <v/>
      </c>
      <c r="M50" s="41">
        <f>IFERROR(INDEX(بيانات!$A$3:$A$202,MATCH(45,$V$3:$V$202,0)),"")</f>
        <v/>
      </c>
      <c r="N50" s="41">
        <f>IFERROR(INDEX(بيانات!$B$3:$B$202,MATCH(45,$V$3:$V$202,0))&amp;" "&amp;INDEX(بيانات!$C$3:$C$202,MATCH(45,$V$3:$V$202,0)),"")</f>
        <v/>
      </c>
      <c r="O50" s="41">
        <f>IFERROR(INDEX(بيانات!$H$3:$H$202,MATCH(45,$V$3:$V$202,0)),"")</f>
        <v/>
      </c>
      <c r="S50">
        <f>IF(AND(بيانات!$B50&lt;&gt;"",بيانات!$G50="ذكر",بيانات!$H50&lt;13),COUNTA($S$3:S50),"")</f>
        <v/>
      </c>
      <c r="T50">
        <f>IF(AND(بيانات!$B50&lt;&gt;"",بيانات!$G50="أنثى",بيانات!$H50&lt;13),COUNTA($T$3:T50),"")</f>
        <v/>
      </c>
      <c r="U50">
        <f>IF(AND(بيانات!$B50&lt;&gt;"",بيانات!$G50="ذكر",بيانات!$H50&gt;=13),COUNTA($U$3:U50),"")</f>
        <v/>
      </c>
      <c r="V50">
        <f>IF(AND(بيانات!$B50&lt;&gt;"",بيانات!$G50="أنثى",بيانات!$H50&gt;=13),COUNTA($V$3:V50),"")</f>
        <v/>
      </c>
    </row>
    <row r="51">
      <c r="A51" s="41">
        <f>IFERROR(INDEX(بيانات!$A$3:$A$202,MATCH(46,$S$3:$S$202,0)),"")</f>
        <v/>
      </c>
      <c r="B51" s="41">
        <f>IFERROR(INDEX(بيانات!$B$3:$B$202,MATCH(46,$S$3:$S$202,0))&amp;" "&amp;INDEX(بيانات!$C$3:$C$202,MATCH(46,$S$3:$S$202,0)),"")</f>
        <v/>
      </c>
      <c r="C51" s="41">
        <f>IFERROR(INDEX(بيانات!$H$3:$H$202,MATCH(46,$S$3:$S$202,0)),"")</f>
        <v/>
      </c>
      <c r="E51" s="41">
        <f>IFERROR(INDEX(بيانات!$A$3:$A$202,MATCH(46,$T$3:$T$202,0)),"")</f>
        <v/>
      </c>
      <c r="F51" s="41">
        <f>IFERROR(INDEX(بيانات!$B$3:$B$202,MATCH(46,$T$3:$T$202,0))&amp;" "&amp;INDEX(بيانات!$C$3:$C$202,MATCH(46,$T$3:$T$202,0)),"")</f>
        <v/>
      </c>
      <c r="G51" s="41">
        <f>IFERROR(INDEX(بيانات!$H$3:$H$202,MATCH(46,$T$3:$T$202,0)),"")</f>
        <v/>
      </c>
      <c r="I51" s="41">
        <f>IFERROR(INDEX(بيانات!$A$3:$A$202,MATCH(46,$U$3:$U$202,0)),"")</f>
        <v/>
      </c>
      <c r="J51" s="41">
        <f>IFERROR(INDEX(بيانات!$B$3:$B$202,MATCH(46,$U$3:$U$202,0))&amp;" "&amp;INDEX(بيانات!$C$3:$C$202,MATCH(46,$U$3:$U$202,0)),"")</f>
        <v/>
      </c>
      <c r="K51" s="41">
        <f>IFERROR(INDEX(بيانات!$H$3:$H$202,MATCH(46,$U$3:$U$202,0)),"")</f>
        <v/>
      </c>
      <c r="M51" s="41">
        <f>IFERROR(INDEX(بيانات!$A$3:$A$202,MATCH(46,$V$3:$V$202,0)),"")</f>
        <v/>
      </c>
      <c r="N51" s="41">
        <f>IFERROR(INDEX(بيانات!$B$3:$B$202,MATCH(46,$V$3:$V$202,0))&amp;" "&amp;INDEX(بيانات!$C$3:$C$202,MATCH(46,$V$3:$V$202,0)),"")</f>
        <v/>
      </c>
      <c r="O51" s="41">
        <f>IFERROR(INDEX(بيانات!$H$3:$H$202,MATCH(46,$V$3:$V$202,0)),"")</f>
        <v/>
      </c>
      <c r="S51">
        <f>IF(AND(بيانات!$B51&lt;&gt;"",بيانات!$G51="ذكر",بيانات!$H51&lt;13),COUNTA($S$3:S51),"")</f>
        <v/>
      </c>
      <c r="T51">
        <f>IF(AND(بيانات!$B51&lt;&gt;"",بيانات!$G51="أنثى",بيانات!$H51&lt;13),COUNTA($T$3:T51),"")</f>
        <v/>
      </c>
      <c r="U51">
        <f>IF(AND(بيانات!$B51&lt;&gt;"",بيانات!$G51="ذكر",بيانات!$H51&gt;=13),COUNTA($U$3:U51),"")</f>
        <v/>
      </c>
      <c r="V51">
        <f>IF(AND(بيانات!$B51&lt;&gt;"",بيانات!$G51="أنثى",بيانات!$H51&gt;=13),COUNTA($V$3:V51),"")</f>
        <v/>
      </c>
    </row>
    <row r="52">
      <c r="A52" s="41">
        <f>IFERROR(INDEX(بيانات!$A$3:$A$202,MATCH(47,$S$3:$S$202,0)),"")</f>
        <v/>
      </c>
      <c r="B52" s="41">
        <f>IFERROR(INDEX(بيانات!$B$3:$B$202,MATCH(47,$S$3:$S$202,0))&amp;" "&amp;INDEX(بيانات!$C$3:$C$202,MATCH(47,$S$3:$S$202,0)),"")</f>
        <v/>
      </c>
      <c r="C52" s="41">
        <f>IFERROR(INDEX(بيانات!$H$3:$H$202,MATCH(47,$S$3:$S$202,0)),"")</f>
        <v/>
      </c>
      <c r="E52" s="41">
        <f>IFERROR(INDEX(بيانات!$A$3:$A$202,MATCH(47,$T$3:$T$202,0)),"")</f>
        <v/>
      </c>
      <c r="F52" s="41">
        <f>IFERROR(INDEX(بيانات!$B$3:$B$202,MATCH(47,$T$3:$T$202,0))&amp;" "&amp;INDEX(بيانات!$C$3:$C$202,MATCH(47,$T$3:$T$202,0)),"")</f>
        <v/>
      </c>
      <c r="G52" s="41">
        <f>IFERROR(INDEX(بيانات!$H$3:$H$202,MATCH(47,$T$3:$T$202,0)),"")</f>
        <v/>
      </c>
      <c r="I52" s="41">
        <f>IFERROR(INDEX(بيانات!$A$3:$A$202,MATCH(47,$U$3:$U$202,0)),"")</f>
        <v/>
      </c>
      <c r="J52" s="41">
        <f>IFERROR(INDEX(بيانات!$B$3:$B$202,MATCH(47,$U$3:$U$202,0))&amp;" "&amp;INDEX(بيانات!$C$3:$C$202,MATCH(47,$U$3:$U$202,0)),"")</f>
        <v/>
      </c>
      <c r="K52" s="41">
        <f>IFERROR(INDEX(بيانات!$H$3:$H$202,MATCH(47,$U$3:$U$202,0)),"")</f>
        <v/>
      </c>
      <c r="M52" s="41">
        <f>IFERROR(INDEX(بيانات!$A$3:$A$202,MATCH(47,$V$3:$V$202,0)),"")</f>
        <v/>
      </c>
      <c r="N52" s="41">
        <f>IFERROR(INDEX(بيانات!$B$3:$B$202,MATCH(47,$V$3:$V$202,0))&amp;" "&amp;INDEX(بيانات!$C$3:$C$202,MATCH(47,$V$3:$V$202,0)),"")</f>
        <v/>
      </c>
      <c r="O52" s="41">
        <f>IFERROR(INDEX(بيانات!$H$3:$H$202,MATCH(47,$V$3:$V$202,0)),"")</f>
        <v/>
      </c>
      <c r="S52">
        <f>IF(AND(بيانات!$B52&lt;&gt;"",بيانات!$G52="ذكر",بيانات!$H52&lt;13),COUNTA($S$3:S52),"")</f>
        <v/>
      </c>
      <c r="T52">
        <f>IF(AND(بيانات!$B52&lt;&gt;"",بيانات!$G52="أنثى",بيانات!$H52&lt;13),COUNTA($T$3:T52),"")</f>
        <v/>
      </c>
      <c r="U52">
        <f>IF(AND(بيانات!$B52&lt;&gt;"",بيانات!$G52="ذكر",بيانات!$H52&gt;=13),COUNTA($U$3:U52),"")</f>
        <v/>
      </c>
      <c r="V52">
        <f>IF(AND(بيانات!$B52&lt;&gt;"",بيانات!$G52="أنثى",بيانات!$H52&gt;=13),COUNTA($V$3:V52),"")</f>
        <v/>
      </c>
    </row>
    <row r="53">
      <c r="A53" s="41">
        <f>IFERROR(INDEX(بيانات!$A$3:$A$202,MATCH(48,$S$3:$S$202,0)),"")</f>
        <v/>
      </c>
      <c r="B53" s="41">
        <f>IFERROR(INDEX(بيانات!$B$3:$B$202,MATCH(48,$S$3:$S$202,0))&amp;" "&amp;INDEX(بيانات!$C$3:$C$202,MATCH(48,$S$3:$S$202,0)),"")</f>
        <v/>
      </c>
      <c r="C53" s="41">
        <f>IFERROR(INDEX(بيانات!$H$3:$H$202,MATCH(48,$S$3:$S$202,0)),"")</f>
        <v/>
      </c>
      <c r="E53" s="41">
        <f>IFERROR(INDEX(بيانات!$A$3:$A$202,MATCH(48,$T$3:$T$202,0)),"")</f>
        <v/>
      </c>
      <c r="F53" s="41">
        <f>IFERROR(INDEX(بيانات!$B$3:$B$202,MATCH(48,$T$3:$T$202,0))&amp;" "&amp;INDEX(بيانات!$C$3:$C$202,MATCH(48,$T$3:$T$202,0)),"")</f>
        <v/>
      </c>
      <c r="G53" s="41">
        <f>IFERROR(INDEX(بيانات!$H$3:$H$202,MATCH(48,$T$3:$T$202,0)),"")</f>
        <v/>
      </c>
      <c r="I53" s="41">
        <f>IFERROR(INDEX(بيانات!$A$3:$A$202,MATCH(48,$U$3:$U$202,0)),"")</f>
        <v/>
      </c>
      <c r="J53" s="41">
        <f>IFERROR(INDEX(بيانات!$B$3:$B$202,MATCH(48,$U$3:$U$202,0))&amp;" "&amp;INDEX(بيانات!$C$3:$C$202,MATCH(48,$U$3:$U$202,0)),"")</f>
        <v/>
      </c>
      <c r="K53" s="41">
        <f>IFERROR(INDEX(بيانات!$H$3:$H$202,MATCH(48,$U$3:$U$202,0)),"")</f>
        <v/>
      </c>
      <c r="M53" s="41">
        <f>IFERROR(INDEX(بيانات!$A$3:$A$202,MATCH(48,$V$3:$V$202,0)),"")</f>
        <v/>
      </c>
      <c r="N53" s="41">
        <f>IFERROR(INDEX(بيانات!$B$3:$B$202,MATCH(48,$V$3:$V$202,0))&amp;" "&amp;INDEX(بيانات!$C$3:$C$202,MATCH(48,$V$3:$V$202,0)),"")</f>
        <v/>
      </c>
      <c r="O53" s="41">
        <f>IFERROR(INDEX(بيانات!$H$3:$H$202,MATCH(48,$V$3:$V$202,0)),"")</f>
        <v/>
      </c>
      <c r="S53">
        <f>IF(AND(بيانات!$B53&lt;&gt;"",بيانات!$G53="ذكر",بيانات!$H53&lt;13),COUNTA($S$3:S53),"")</f>
        <v/>
      </c>
      <c r="T53">
        <f>IF(AND(بيانات!$B53&lt;&gt;"",بيانات!$G53="أنثى",بيانات!$H53&lt;13),COUNTA($T$3:T53),"")</f>
        <v/>
      </c>
      <c r="U53">
        <f>IF(AND(بيانات!$B53&lt;&gt;"",بيانات!$G53="ذكر",بيانات!$H53&gt;=13),COUNTA($U$3:U53),"")</f>
        <v/>
      </c>
      <c r="V53">
        <f>IF(AND(بيانات!$B53&lt;&gt;"",بيانات!$G53="أنثى",بيانات!$H53&gt;=13),COUNTA($V$3:V53),"")</f>
        <v/>
      </c>
    </row>
    <row r="54">
      <c r="A54" s="41">
        <f>IFERROR(INDEX(بيانات!$A$3:$A$202,MATCH(49,$S$3:$S$202,0)),"")</f>
        <v/>
      </c>
      <c r="B54" s="41">
        <f>IFERROR(INDEX(بيانات!$B$3:$B$202,MATCH(49,$S$3:$S$202,0))&amp;" "&amp;INDEX(بيانات!$C$3:$C$202,MATCH(49,$S$3:$S$202,0)),"")</f>
        <v/>
      </c>
      <c r="C54" s="41">
        <f>IFERROR(INDEX(بيانات!$H$3:$H$202,MATCH(49,$S$3:$S$202,0)),"")</f>
        <v/>
      </c>
      <c r="E54" s="41">
        <f>IFERROR(INDEX(بيانات!$A$3:$A$202,MATCH(49,$T$3:$T$202,0)),"")</f>
        <v/>
      </c>
      <c r="F54" s="41">
        <f>IFERROR(INDEX(بيانات!$B$3:$B$202,MATCH(49,$T$3:$T$202,0))&amp;" "&amp;INDEX(بيانات!$C$3:$C$202,MATCH(49,$T$3:$T$202,0)),"")</f>
        <v/>
      </c>
      <c r="G54" s="41">
        <f>IFERROR(INDEX(بيانات!$H$3:$H$202,MATCH(49,$T$3:$T$202,0)),"")</f>
        <v/>
      </c>
      <c r="I54" s="41">
        <f>IFERROR(INDEX(بيانات!$A$3:$A$202,MATCH(49,$U$3:$U$202,0)),"")</f>
        <v/>
      </c>
      <c r="J54" s="41">
        <f>IFERROR(INDEX(بيانات!$B$3:$B$202,MATCH(49,$U$3:$U$202,0))&amp;" "&amp;INDEX(بيانات!$C$3:$C$202,MATCH(49,$U$3:$U$202,0)),"")</f>
        <v/>
      </c>
      <c r="K54" s="41">
        <f>IFERROR(INDEX(بيانات!$H$3:$H$202,MATCH(49,$U$3:$U$202,0)),"")</f>
        <v/>
      </c>
      <c r="M54" s="41">
        <f>IFERROR(INDEX(بيانات!$A$3:$A$202,MATCH(49,$V$3:$V$202,0)),"")</f>
        <v/>
      </c>
      <c r="N54" s="41">
        <f>IFERROR(INDEX(بيانات!$B$3:$B$202,MATCH(49,$V$3:$V$202,0))&amp;" "&amp;INDEX(بيانات!$C$3:$C$202,MATCH(49,$V$3:$V$202,0)),"")</f>
        <v/>
      </c>
      <c r="O54" s="41">
        <f>IFERROR(INDEX(بيانات!$H$3:$H$202,MATCH(49,$V$3:$V$202,0)),"")</f>
        <v/>
      </c>
      <c r="S54">
        <f>IF(AND(بيانات!$B54&lt;&gt;"",بيانات!$G54="ذكر",بيانات!$H54&lt;13),COUNTA($S$3:S54),"")</f>
        <v/>
      </c>
      <c r="T54">
        <f>IF(AND(بيانات!$B54&lt;&gt;"",بيانات!$G54="أنثى",بيانات!$H54&lt;13),COUNTA($T$3:T54),"")</f>
        <v/>
      </c>
      <c r="U54">
        <f>IF(AND(بيانات!$B54&lt;&gt;"",بيانات!$G54="ذكر",بيانات!$H54&gt;=13),COUNTA($U$3:U54),"")</f>
        <v/>
      </c>
      <c r="V54">
        <f>IF(AND(بيانات!$B54&lt;&gt;"",بيانات!$G54="أنثى",بيانات!$H54&gt;=13),COUNTA($V$3:V54),"")</f>
        <v/>
      </c>
    </row>
    <row r="55">
      <c r="A55" s="41">
        <f>IFERROR(INDEX(بيانات!$A$3:$A$202,MATCH(50,$S$3:$S$202,0)),"")</f>
        <v/>
      </c>
      <c r="B55" s="41">
        <f>IFERROR(INDEX(بيانات!$B$3:$B$202,MATCH(50,$S$3:$S$202,0))&amp;" "&amp;INDEX(بيانات!$C$3:$C$202,MATCH(50,$S$3:$S$202,0)),"")</f>
        <v/>
      </c>
      <c r="C55" s="41">
        <f>IFERROR(INDEX(بيانات!$H$3:$H$202,MATCH(50,$S$3:$S$202,0)),"")</f>
        <v/>
      </c>
      <c r="E55" s="41">
        <f>IFERROR(INDEX(بيانات!$A$3:$A$202,MATCH(50,$T$3:$T$202,0)),"")</f>
        <v/>
      </c>
      <c r="F55" s="41">
        <f>IFERROR(INDEX(بيانات!$B$3:$B$202,MATCH(50,$T$3:$T$202,0))&amp;" "&amp;INDEX(بيانات!$C$3:$C$202,MATCH(50,$T$3:$T$202,0)),"")</f>
        <v/>
      </c>
      <c r="G55" s="41">
        <f>IFERROR(INDEX(بيانات!$H$3:$H$202,MATCH(50,$T$3:$T$202,0)),"")</f>
        <v/>
      </c>
      <c r="I55" s="41">
        <f>IFERROR(INDEX(بيانات!$A$3:$A$202,MATCH(50,$U$3:$U$202,0)),"")</f>
        <v/>
      </c>
      <c r="J55" s="41">
        <f>IFERROR(INDEX(بيانات!$B$3:$B$202,MATCH(50,$U$3:$U$202,0))&amp;" "&amp;INDEX(بيانات!$C$3:$C$202,MATCH(50,$U$3:$U$202,0)),"")</f>
        <v/>
      </c>
      <c r="K55" s="41">
        <f>IFERROR(INDEX(بيانات!$H$3:$H$202,MATCH(50,$U$3:$U$202,0)),"")</f>
        <v/>
      </c>
      <c r="M55" s="41">
        <f>IFERROR(INDEX(بيانات!$A$3:$A$202,MATCH(50,$V$3:$V$202,0)),"")</f>
        <v/>
      </c>
      <c r="N55" s="41">
        <f>IFERROR(INDEX(بيانات!$B$3:$B$202,MATCH(50,$V$3:$V$202,0))&amp;" "&amp;INDEX(بيانات!$C$3:$C$202,MATCH(50,$V$3:$V$202,0)),"")</f>
        <v/>
      </c>
      <c r="O55" s="41">
        <f>IFERROR(INDEX(بيانات!$H$3:$H$202,MATCH(50,$V$3:$V$202,0)),"")</f>
        <v/>
      </c>
      <c r="S55">
        <f>IF(AND(بيانات!$B55&lt;&gt;"",بيانات!$G55="ذكر",بيانات!$H55&lt;13),COUNTA($S$3:S55),"")</f>
        <v/>
      </c>
      <c r="T55">
        <f>IF(AND(بيانات!$B55&lt;&gt;"",بيانات!$G55="أنثى",بيانات!$H55&lt;13),COUNTA($T$3:T55),"")</f>
        <v/>
      </c>
      <c r="U55">
        <f>IF(AND(بيانات!$B55&lt;&gt;"",بيانات!$G55="ذكر",بيانات!$H55&gt;=13),COUNTA($U$3:U55),"")</f>
        <v/>
      </c>
      <c r="V55">
        <f>IF(AND(بيانات!$B55&lt;&gt;"",بيانات!$G55="أنثى",بيانات!$H55&gt;=13),COUNTA($V$3:V55),"")</f>
        <v/>
      </c>
    </row>
    <row r="56">
      <c r="A56" s="41">
        <f>IFERROR(INDEX(بيانات!$A$3:$A$202,MATCH(51,$S$3:$S$202,0)),"")</f>
        <v/>
      </c>
      <c r="B56" s="41">
        <f>IFERROR(INDEX(بيانات!$B$3:$B$202,MATCH(51,$S$3:$S$202,0))&amp;" "&amp;INDEX(بيانات!$C$3:$C$202,MATCH(51,$S$3:$S$202,0)),"")</f>
        <v/>
      </c>
      <c r="C56" s="41">
        <f>IFERROR(INDEX(بيانات!$H$3:$H$202,MATCH(51,$S$3:$S$202,0)),"")</f>
        <v/>
      </c>
      <c r="E56" s="41">
        <f>IFERROR(INDEX(بيانات!$A$3:$A$202,MATCH(51,$T$3:$T$202,0)),"")</f>
        <v/>
      </c>
      <c r="F56" s="41">
        <f>IFERROR(INDEX(بيانات!$B$3:$B$202,MATCH(51,$T$3:$T$202,0))&amp;" "&amp;INDEX(بيانات!$C$3:$C$202,MATCH(51,$T$3:$T$202,0)),"")</f>
        <v/>
      </c>
      <c r="G56" s="41">
        <f>IFERROR(INDEX(بيانات!$H$3:$H$202,MATCH(51,$T$3:$T$202,0)),"")</f>
        <v/>
      </c>
      <c r="I56" s="41">
        <f>IFERROR(INDEX(بيانات!$A$3:$A$202,MATCH(51,$U$3:$U$202,0)),"")</f>
        <v/>
      </c>
      <c r="J56" s="41">
        <f>IFERROR(INDEX(بيانات!$B$3:$B$202,MATCH(51,$U$3:$U$202,0))&amp;" "&amp;INDEX(بيانات!$C$3:$C$202,MATCH(51,$U$3:$U$202,0)),"")</f>
        <v/>
      </c>
      <c r="K56" s="41">
        <f>IFERROR(INDEX(بيانات!$H$3:$H$202,MATCH(51,$U$3:$U$202,0)),"")</f>
        <v/>
      </c>
      <c r="M56" s="41">
        <f>IFERROR(INDEX(بيانات!$A$3:$A$202,MATCH(51,$V$3:$V$202,0)),"")</f>
        <v/>
      </c>
      <c r="N56" s="41">
        <f>IFERROR(INDEX(بيانات!$B$3:$B$202,MATCH(51,$V$3:$V$202,0))&amp;" "&amp;INDEX(بيانات!$C$3:$C$202,MATCH(51,$V$3:$V$202,0)),"")</f>
        <v/>
      </c>
      <c r="O56" s="41">
        <f>IFERROR(INDEX(بيانات!$H$3:$H$202,MATCH(51,$V$3:$V$202,0)),"")</f>
        <v/>
      </c>
      <c r="S56">
        <f>IF(AND(بيانات!$B56&lt;&gt;"",بيانات!$G56="ذكر",بيانات!$H56&lt;13),COUNTA($S$3:S56),"")</f>
        <v/>
      </c>
      <c r="T56">
        <f>IF(AND(بيانات!$B56&lt;&gt;"",بيانات!$G56="أنثى",بيانات!$H56&lt;13),COUNTA($T$3:T56),"")</f>
        <v/>
      </c>
      <c r="U56">
        <f>IF(AND(بيانات!$B56&lt;&gt;"",بيانات!$G56="ذكر",بيانات!$H56&gt;=13),COUNTA($U$3:U56),"")</f>
        <v/>
      </c>
      <c r="V56">
        <f>IF(AND(بيانات!$B56&lt;&gt;"",بيانات!$G56="أنثى",بيانات!$H56&gt;=13),COUNTA($V$3:V56),"")</f>
        <v/>
      </c>
    </row>
    <row r="57">
      <c r="A57" s="41">
        <f>IFERROR(INDEX(بيانات!$A$3:$A$202,MATCH(52,$S$3:$S$202,0)),"")</f>
        <v/>
      </c>
      <c r="B57" s="41">
        <f>IFERROR(INDEX(بيانات!$B$3:$B$202,MATCH(52,$S$3:$S$202,0))&amp;" "&amp;INDEX(بيانات!$C$3:$C$202,MATCH(52,$S$3:$S$202,0)),"")</f>
        <v/>
      </c>
      <c r="C57" s="41">
        <f>IFERROR(INDEX(بيانات!$H$3:$H$202,MATCH(52,$S$3:$S$202,0)),"")</f>
        <v/>
      </c>
      <c r="E57" s="41">
        <f>IFERROR(INDEX(بيانات!$A$3:$A$202,MATCH(52,$T$3:$T$202,0)),"")</f>
        <v/>
      </c>
      <c r="F57" s="41">
        <f>IFERROR(INDEX(بيانات!$B$3:$B$202,MATCH(52,$T$3:$T$202,0))&amp;" "&amp;INDEX(بيانات!$C$3:$C$202,MATCH(52,$T$3:$T$202,0)),"")</f>
        <v/>
      </c>
      <c r="G57" s="41">
        <f>IFERROR(INDEX(بيانات!$H$3:$H$202,MATCH(52,$T$3:$T$202,0)),"")</f>
        <v/>
      </c>
      <c r="I57" s="41">
        <f>IFERROR(INDEX(بيانات!$A$3:$A$202,MATCH(52,$U$3:$U$202,0)),"")</f>
        <v/>
      </c>
      <c r="J57" s="41">
        <f>IFERROR(INDEX(بيانات!$B$3:$B$202,MATCH(52,$U$3:$U$202,0))&amp;" "&amp;INDEX(بيانات!$C$3:$C$202,MATCH(52,$U$3:$U$202,0)),"")</f>
        <v/>
      </c>
      <c r="K57" s="41">
        <f>IFERROR(INDEX(بيانات!$H$3:$H$202,MATCH(52,$U$3:$U$202,0)),"")</f>
        <v/>
      </c>
      <c r="M57" s="41">
        <f>IFERROR(INDEX(بيانات!$A$3:$A$202,MATCH(52,$V$3:$V$202,0)),"")</f>
        <v/>
      </c>
      <c r="N57" s="41">
        <f>IFERROR(INDEX(بيانات!$B$3:$B$202,MATCH(52,$V$3:$V$202,0))&amp;" "&amp;INDEX(بيانات!$C$3:$C$202,MATCH(52,$V$3:$V$202,0)),"")</f>
        <v/>
      </c>
      <c r="O57" s="41">
        <f>IFERROR(INDEX(بيانات!$H$3:$H$202,MATCH(52,$V$3:$V$202,0)),"")</f>
        <v/>
      </c>
      <c r="S57">
        <f>IF(AND(بيانات!$B57&lt;&gt;"",بيانات!$G57="ذكر",بيانات!$H57&lt;13),COUNTA($S$3:S57),"")</f>
        <v/>
      </c>
      <c r="T57">
        <f>IF(AND(بيانات!$B57&lt;&gt;"",بيانات!$G57="أنثى",بيانات!$H57&lt;13),COUNTA($T$3:T57),"")</f>
        <v/>
      </c>
      <c r="U57">
        <f>IF(AND(بيانات!$B57&lt;&gt;"",بيانات!$G57="ذكر",بيانات!$H57&gt;=13),COUNTA($U$3:U57),"")</f>
        <v/>
      </c>
      <c r="V57">
        <f>IF(AND(بيانات!$B57&lt;&gt;"",بيانات!$G57="أنثى",بيانات!$H57&gt;=13),COUNTA($V$3:V57),"")</f>
        <v/>
      </c>
    </row>
    <row r="58">
      <c r="A58" s="41">
        <f>IFERROR(INDEX(بيانات!$A$3:$A$202,MATCH(53,$S$3:$S$202,0)),"")</f>
        <v/>
      </c>
      <c r="B58" s="41">
        <f>IFERROR(INDEX(بيانات!$B$3:$B$202,MATCH(53,$S$3:$S$202,0))&amp;" "&amp;INDEX(بيانات!$C$3:$C$202,MATCH(53,$S$3:$S$202,0)),"")</f>
        <v/>
      </c>
      <c r="C58" s="41">
        <f>IFERROR(INDEX(بيانات!$H$3:$H$202,MATCH(53,$S$3:$S$202,0)),"")</f>
        <v/>
      </c>
      <c r="E58" s="41">
        <f>IFERROR(INDEX(بيانات!$A$3:$A$202,MATCH(53,$T$3:$T$202,0)),"")</f>
        <v/>
      </c>
      <c r="F58" s="41">
        <f>IFERROR(INDEX(بيانات!$B$3:$B$202,MATCH(53,$T$3:$T$202,0))&amp;" "&amp;INDEX(بيانات!$C$3:$C$202,MATCH(53,$T$3:$T$202,0)),"")</f>
        <v/>
      </c>
      <c r="G58" s="41">
        <f>IFERROR(INDEX(بيانات!$H$3:$H$202,MATCH(53,$T$3:$T$202,0)),"")</f>
        <v/>
      </c>
      <c r="I58" s="41">
        <f>IFERROR(INDEX(بيانات!$A$3:$A$202,MATCH(53,$U$3:$U$202,0)),"")</f>
        <v/>
      </c>
      <c r="J58" s="41">
        <f>IFERROR(INDEX(بيانات!$B$3:$B$202,MATCH(53,$U$3:$U$202,0))&amp;" "&amp;INDEX(بيانات!$C$3:$C$202,MATCH(53,$U$3:$U$202,0)),"")</f>
        <v/>
      </c>
      <c r="K58" s="41">
        <f>IFERROR(INDEX(بيانات!$H$3:$H$202,MATCH(53,$U$3:$U$202,0)),"")</f>
        <v/>
      </c>
      <c r="M58" s="41">
        <f>IFERROR(INDEX(بيانات!$A$3:$A$202,MATCH(53,$V$3:$V$202,0)),"")</f>
        <v/>
      </c>
      <c r="N58" s="41">
        <f>IFERROR(INDEX(بيانات!$B$3:$B$202,MATCH(53,$V$3:$V$202,0))&amp;" "&amp;INDEX(بيانات!$C$3:$C$202,MATCH(53,$V$3:$V$202,0)),"")</f>
        <v/>
      </c>
      <c r="O58" s="41">
        <f>IFERROR(INDEX(بيانات!$H$3:$H$202,MATCH(53,$V$3:$V$202,0)),"")</f>
        <v/>
      </c>
      <c r="S58">
        <f>IF(AND(بيانات!$B58&lt;&gt;"",بيانات!$G58="ذكر",بيانات!$H58&lt;13),COUNTA($S$3:S58),"")</f>
        <v/>
      </c>
      <c r="T58">
        <f>IF(AND(بيانات!$B58&lt;&gt;"",بيانات!$G58="أنثى",بيانات!$H58&lt;13),COUNTA($T$3:T58),"")</f>
        <v/>
      </c>
      <c r="U58">
        <f>IF(AND(بيانات!$B58&lt;&gt;"",بيانات!$G58="ذكر",بيانات!$H58&gt;=13),COUNTA($U$3:U58),"")</f>
        <v/>
      </c>
      <c r="V58">
        <f>IF(AND(بيانات!$B58&lt;&gt;"",بيانات!$G58="أنثى",بيانات!$H58&gt;=13),COUNTA($V$3:V58),"")</f>
        <v/>
      </c>
    </row>
    <row r="59">
      <c r="A59" s="41">
        <f>IFERROR(INDEX(بيانات!$A$3:$A$202,MATCH(54,$S$3:$S$202,0)),"")</f>
        <v/>
      </c>
      <c r="B59" s="41">
        <f>IFERROR(INDEX(بيانات!$B$3:$B$202,MATCH(54,$S$3:$S$202,0))&amp;" "&amp;INDEX(بيانات!$C$3:$C$202,MATCH(54,$S$3:$S$202,0)),"")</f>
        <v/>
      </c>
      <c r="C59" s="41">
        <f>IFERROR(INDEX(بيانات!$H$3:$H$202,MATCH(54,$S$3:$S$202,0)),"")</f>
        <v/>
      </c>
      <c r="E59" s="41">
        <f>IFERROR(INDEX(بيانات!$A$3:$A$202,MATCH(54,$T$3:$T$202,0)),"")</f>
        <v/>
      </c>
      <c r="F59" s="41">
        <f>IFERROR(INDEX(بيانات!$B$3:$B$202,MATCH(54,$T$3:$T$202,0))&amp;" "&amp;INDEX(بيانات!$C$3:$C$202,MATCH(54,$T$3:$T$202,0)),"")</f>
        <v/>
      </c>
      <c r="G59" s="41">
        <f>IFERROR(INDEX(بيانات!$H$3:$H$202,MATCH(54,$T$3:$T$202,0)),"")</f>
        <v/>
      </c>
      <c r="I59" s="41">
        <f>IFERROR(INDEX(بيانات!$A$3:$A$202,MATCH(54,$U$3:$U$202,0)),"")</f>
        <v/>
      </c>
      <c r="J59" s="41">
        <f>IFERROR(INDEX(بيانات!$B$3:$B$202,MATCH(54,$U$3:$U$202,0))&amp;" "&amp;INDEX(بيانات!$C$3:$C$202,MATCH(54,$U$3:$U$202,0)),"")</f>
        <v/>
      </c>
      <c r="K59" s="41">
        <f>IFERROR(INDEX(بيانات!$H$3:$H$202,MATCH(54,$U$3:$U$202,0)),"")</f>
        <v/>
      </c>
      <c r="M59" s="41">
        <f>IFERROR(INDEX(بيانات!$A$3:$A$202,MATCH(54,$V$3:$V$202,0)),"")</f>
        <v/>
      </c>
      <c r="N59" s="41">
        <f>IFERROR(INDEX(بيانات!$B$3:$B$202,MATCH(54,$V$3:$V$202,0))&amp;" "&amp;INDEX(بيانات!$C$3:$C$202,MATCH(54,$V$3:$V$202,0)),"")</f>
        <v/>
      </c>
      <c r="O59" s="41">
        <f>IFERROR(INDEX(بيانات!$H$3:$H$202,MATCH(54,$V$3:$V$202,0)),"")</f>
        <v/>
      </c>
      <c r="S59">
        <f>IF(AND(بيانات!$B59&lt;&gt;"",بيانات!$G59="ذكر",بيانات!$H59&lt;13),COUNTA($S$3:S59),"")</f>
        <v/>
      </c>
      <c r="T59">
        <f>IF(AND(بيانات!$B59&lt;&gt;"",بيانات!$G59="أنثى",بيانات!$H59&lt;13),COUNTA($T$3:T59),"")</f>
        <v/>
      </c>
      <c r="U59">
        <f>IF(AND(بيانات!$B59&lt;&gt;"",بيانات!$G59="ذكر",بيانات!$H59&gt;=13),COUNTA($U$3:U59),"")</f>
        <v/>
      </c>
      <c r="V59">
        <f>IF(AND(بيانات!$B59&lt;&gt;"",بيانات!$G59="أنثى",بيانات!$H59&gt;=13),COUNTA($V$3:V59),"")</f>
        <v/>
      </c>
    </row>
    <row r="60">
      <c r="A60" s="41">
        <f>IFERROR(INDEX(بيانات!$A$3:$A$202,MATCH(55,$S$3:$S$202,0)),"")</f>
        <v/>
      </c>
      <c r="B60" s="41">
        <f>IFERROR(INDEX(بيانات!$B$3:$B$202,MATCH(55,$S$3:$S$202,0))&amp;" "&amp;INDEX(بيانات!$C$3:$C$202,MATCH(55,$S$3:$S$202,0)),"")</f>
        <v/>
      </c>
      <c r="C60" s="41">
        <f>IFERROR(INDEX(بيانات!$H$3:$H$202,MATCH(55,$S$3:$S$202,0)),"")</f>
        <v/>
      </c>
      <c r="E60" s="41">
        <f>IFERROR(INDEX(بيانات!$A$3:$A$202,MATCH(55,$T$3:$T$202,0)),"")</f>
        <v/>
      </c>
      <c r="F60" s="41">
        <f>IFERROR(INDEX(بيانات!$B$3:$B$202,MATCH(55,$T$3:$T$202,0))&amp;" "&amp;INDEX(بيانات!$C$3:$C$202,MATCH(55,$T$3:$T$202,0)),"")</f>
        <v/>
      </c>
      <c r="G60" s="41">
        <f>IFERROR(INDEX(بيانات!$H$3:$H$202,MATCH(55,$T$3:$T$202,0)),"")</f>
        <v/>
      </c>
      <c r="I60" s="41">
        <f>IFERROR(INDEX(بيانات!$A$3:$A$202,MATCH(55,$U$3:$U$202,0)),"")</f>
        <v/>
      </c>
      <c r="J60" s="41">
        <f>IFERROR(INDEX(بيانات!$B$3:$B$202,MATCH(55,$U$3:$U$202,0))&amp;" "&amp;INDEX(بيانات!$C$3:$C$202,MATCH(55,$U$3:$U$202,0)),"")</f>
        <v/>
      </c>
      <c r="K60" s="41">
        <f>IFERROR(INDEX(بيانات!$H$3:$H$202,MATCH(55,$U$3:$U$202,0)),"")</f>
        <v/>
      </c>
      <c r="M60" s="41">
        <f>IFERROR(INDEX(بيانات!$A$3:$A$202,MATCH(55,$V$3:$V$202,0)),"")</f>
        <v/>
      </c>
      <c r="N60" s="41">
        <f>IFERROR(INDEX(بيانات!$B$3:$B$202,MATCH(55,$V$3:$V$202,0))&amp;" "&amp;INDEX(بيانات!$C$3:$C$202,MATCH(55,$V$3:$V$202,0)),"")</f>
        <v/>
      </c>
      <c r="O60" s="41">
        <f>IFERROR(INDEX(بيانات!$H$3:$H$202,MATCH(55,$V$3:$V$202,0)),"")</f>
        <v/>
      </c>
      <c r="S60">
        <f>IF(AND(بيانات!$B60&lt;&gt;"",بيانات!$G60="ذكر",بيانات!$H60&lt;13),COUNTA($S$3:S60),"")</f>
        <v/>
      </c>
      <c r="T60">
        <f>IF(AND(بيانات!$B60&lt;&gt;"",بيانات!$G60="أنثى",بيانات!$H60&lt;13),COUNTA($T$3:T60),"")</f>
        <v/>
      </c>
      <c r="U60">
        <f>IF(AND(بيانات!$B60&lt;&gt;"",بيانات!$G60="ذكر",بيانات!$H60&gt;=13),COUNTA($U$3:U60),"")</f>
        <v/>
      </c>
      <c r="V60">
        <f>IF(AND(بيانات!$B60&lt;&gt;"",بيانات!$G60="أنثى",بيانات!$H60&gt;=13),COUNTA($V$3:V60),"")</f>
        <v/>
      </c>
    </row>
    <row r="61">
      <c r="A61" s="41">
        <f>IFERROR(INDEX(بيانات!$A$3:$A$202,MATCH(56,$S$3:$S$202,0)),"")</f>
        <v/>
      </c>
      <c r="B61" s="41">
        <f>IFERROR(INDEX(بيانات!$B$3:$B$202,MATCH(56,$S$3:$S$202,0))&amp;" "&amp;INDEX(بيانات!$C$3:$C$202,MATCH(56,$S$3:$S$202,0)),"")</f>
        <v/>
      </c>
      <c r="C61" s="41">
        <f>IFERROR(INDEX(بيانات!$H$3:$H$202,MATCH(56,$S$3:$S$202,0)),"")</f>
        <v/>
      </c>
      <c r="E61" s="41">
        <f>IFERROR(INDEX(بيانات!$A$3:$A$202,MATCH(56,$T$3:$T$202,0)),"")</f>
        <v/>
      </c>
      <c r="F61" s="41">
        <f>IFERROR(INDEX(بيانات!$B$3:$B$202,MATCH(56,$T$3:$T$202,0))&amp;" "&amp;INDEX(بيانات!$C$3:$C$202,MATCH(56,$T$3:$T$202,0)),"")</f>
        <v/>
      </c>
      <c r="G61" s="41">
        <f>IFERROR(INDEX(بيانات!$H$3:$H$202,MATCH(56,$T$3:$T$202,0)),"")</f>
        <v/>
      </c>
      <c r="I61" s="41">
        <f>IFERROR(INDEX(بيانات!$A$3:$A$202,MATCH(56,$U$3:$U$202,0)),"")</f>
        <v/>
      </c>
      <c r="J61" s="41">
        <f>IFERROR(INDEX(بيانات!$B$3:$B$202,MATCH(56,$U$3:$U$202,0))&amp;" "&amp;INDEX(بيانات!$C$3:$C$202,MATCH(56,$U$3:$U$202,0)),"")</f>
        <v/>
      </c>
      <c r="K61" s="41">
        <f>IFERROR(INDEX(بيانات!$H$3:$H$202,MATCH(56,$U$3:$U$202,0)),"")</f>
        <v/>
      </c>
      <c r="M61" s="41">
        <f>IFERROR(INDEX(بيانات!$A$3:$A$202,MATCH(56,$V$3:$V$202,0)),"")</f>
        <v/>
      </c>
      <c r="N61" s="41">
        <f>IFERROR(INDEX(بيانات!$B$3:$B$202,MATCH(56,$V$3:$V$202,0))&amp;" "&amp;INDEX(بيانات!$C$3:$C$202,MATCH(56,$V$3:$V$202,0)),"")</f>
        <v/>
      </c>
      <c r="O61" s="41">
        <f>IFERROR(INDEX(بيانات!$H$3:$H$202,MATCH(56,$V$3:$V$202,0)),"")</f>
        <v/>
      </c>
      <c r="S61">
        <f>IF(AND(بيانات!$B61&lt;&gt;"",بيانات!$G61="ذكر",بيانات!$H61&lt;13),COUNTA($S$3:S61),"")</f>
        <v/>
      </c>
      <c r="T61">
        <f>IF(AND(بيانات!$B61&lt;&gt;"",بيانات!$G61="أنثى",بيانات!$H61&lt;13),COUNTA($T$3:T61),"")</f>
        <v/>
      </c>
      <c r="U61">
        <f>IF(AND(بيانات!$B61&lt;&gt;"",بيانات!$G61="ذكر",بيانات!$H61&gt;=13),COUNTA($U$3:U61),"")</f>
        <v/>
      </c>
      <c r="V61">
        <f>IF(AND(بيانات!$B61&lt;&gt;"",بيانات!$G61="أنثى",بيانات!$H61&gt;=13),COUNTA($V$3:V61),"")</f>
        <v/>
      </c>
    </row>
    <row r="62">
      <c r="A62" s="41">
        <f>IFERROR(INDEX(بيانات!$A$3:$A$202,MATCH(57,$S$3:$S$202,0)),"")</f>
        <v/>
      </c>
      <c r="B62" s="41">
        <f>IFERROR(INDEX(بيانات!$B$3:$B$202,MATCH(57,$S$3:$S$202,0))&amp;" "&amp;INDEX(بيانات!$C$3:$C$202,MATCH(57,$S$3:$S$202,0)),"")</f>
        <v/>
      </c>
      <c r="C62" s="41">
        <f>IFERROR(INDEX(بيانات!$H$3:$H$202,MATCH(57,$S$3:$S$202,0)),"")</f>
        <v/>
      </c>
      <c r="E62" s="41">
        <f>IFERROR(INDEX(بيانات!$A$3:$A$202,MATCH(57,$T$3:$T$202,0)),"")</f>
        <v/>
      </c>
      <c r="F62" s="41">
        <f>IFERROR(INDEX(بيانات!$B$3:$B$202,MATCH(57,$T$3:$T$202,0))&amp;" "&amp;INDEX(بيانات!$C$3:$C$202,MATCH(57,$T$3:$T$202,0)),"")</f>
        <v/>
      </c>
      <c r="G62" s="41">
        <f>IFERROR(INDEX(بيانات!$H$3:$H$202,MATCH(57,$T$3:$T$202,0)),"")</f>
        <v/>
      </c>
      <c r="I62" s="41">
        <f>IFERROR(INDEX(بيانات!$A$3:$A$202,MATCH(57,$U$3:$U$202,0)),"")</f>
        <v/>
      </c>
      <c r="J62" s="41">
        <f>IFERROR(INDEX(بيانات!$B$3:$B$202,MATCH(57,$U$3:$U$202,0))&amp;" "&amp;INDEX(بيانات!$C$3:$C$202,MATCH(57,$U$3:$U$202,0)),"")</f>
        <v/>
      </c>
      <c r="K62" s="41">
        <f>IFERROR(INDEX(بيانات!$H$3:$H$202,MATCH(57,$U$3:$U$202,0)),"")</f>
        <v/>
      </c>
      <c r="M62" s="41">
        <f>IFERROR(INDEX(بيانات!$A$3:$A$202,MATCH(57,$V$3:$V$202,0)),"")</f>
        <v/>
      </c>
      <c r="N62" s="41">
        <f>IFERROR(INDEX(بيانات!$B$3:$B$202,MATCH(57,$V$3:$V$202,0))&amp;" "&amp;INDEX(بيانات!$C$3:$C$202,MATCH(57,$V$3:$V$202,0)),"")</f>
        <v/>
      </c>
      <c r="O62" s="41">
        <f>IFERROR(INDEX(بيانات!$H$3:$H$202,MATCH(57,$V$3:$V$202,0)),"")</f>
        <v/>
      </c>
      <c r="S62">
        <f>IF(AND(بيانات!$B62&lt;&gt;"",بيانات!$G62="ذكر",بيانات!$H62&lt;13),COUNTA($S$3:S62),"")</f>
        <v/>
      </c>
      <c r="T62">
        <f>IF(AND(بيانات!$B62&lt;&gt;"",بيانات!$G62="أنثى",بيانات!$H62&lt;13),COUNTA($T$3:T62),"")</f>
        <v/>
      </c>
      <c r="U62">
        <f>IF(AND(بيانات!$B62&lt;&gt;"",بيانات!$G62="ذكر",بيانات!$H62&gt;=13),COUNTA($U$3:U62),"")</f>
        <v/>
      </c>
      <c r="V62">
        <f>IF(AND(بيانات!$B62&lt;&gt;"",بيانات!$G62="أنثى",بيانات!$H62&gt;=13),COUNTA($V$3:V62),"")</f>
        <v/>
      </c>
    </row>
    <row r="63">
      <c r="A63" s="41">
        <f>IFERROR(INDEX(بيانات!$A$3:$A$202,MATCH(58,$S$3:$S$202,0)),"")</f>
        <v/>
      </c>
      <c r="B63" s="41">
        <f>IFERROR(INDEX(بيانات!$B$3:$B$202,MATCH(58,$S$3:$S$202,0))&amp;" "&amp;INDEX(بيانات!$C$3:$C$202,MATCH(58,$S$3:$S$202,0)),"")</f>
        <v/>
      </c>
      <c r="C63" s="41">
        <f>IFERROR(INDEX(بيانات!$H$3:$H$202,MATCH(58,$S$3:$S$202,0)),"")</f>
        <v/>
      </c>
      <c r="E63" s="41">
        <f>IFERROR(INDEX(بيانات!$A$3:$A$202,MATCH(58,$T$3:$T$202,0)),"")</f>
        <v/>
      </c>
      <c r="F63" s="41">
        <f>IFERROR(INDEX(بيانات!$B$3:$B$202,MATCH(58,$T$3:$T$202,0))&amp;" "&amp;INDEX(بيانات!$C$3:$C$202,MATCH(58,$T$3:$T$202,0)),"")</f>
        <v/>
      </c>
      <c r="G63" s="41">
        <f>IFERROR(INDEX(بيانات!$H$3:$H$202,MATCH(58,$T$3:$T$202,0)),"")</f>
        <v/>
      </c>
      <c r="I63" s="41">
        <f>IFERROR(INDEX(بيانات!$A$3:$A$202,MATCH(58,$U$3:$U$202,0)),"")</f>
        <v/>
      </c>
      <c r="J63" s="41">
        <f>IFERROR(INDEX(بيانات!$B$3:$B$202,MATCH(58,$U$3:$U$202,0))&amp;" "&amp;INDEX(بيانات!$C$3:$C$202,MATCH(58,$U$3:$U$202,0)),"")</f>
        <v/>
      </c>
      <c r="K63" s="41">
        <f>IFERROR(INDEX(بيانات!$H$3:$H$202,MATCH(58,$U$3:$U$202,0)),"")</f>
        <v/>
      </c>
      <c r="M63" s="41">
        <f>IFERROR(INDEX(بيانات!$A$3:$A$202,MATCH(58,$V$3:$V$202,0)),"")</f>
        <v/>
      </c>
      <c r="N63" s="41">
        <f>IFERROR(INDEX(بيانات!$B$3:$B$202,MATCH(58,$V$3:$V$202,0))&amp;" "&amp;INDEX(بيانات!$C$3:$C$202,MATCH(58,$V$3:$V$202,0)),"")</f>
        <v/>
      </c>
      <c r="O63" s="41">
        <f>IFERROR(INDEX(بيانات!$H$3:$H$202,MATCH(58,$V$3:$V$202,0)),"")</f>
        <v/>
      </c>
      <c r="S63">
        <f>IF(AND(بيانات!$B63&lt;&gt;"",بيانات!$G63="ذكر",بيانات!$H63&lt;13),COUNTA($S$3:S63),"")</f>
        <v/>
      </c>
      <c r="T63">
        <f>IF(AND(بيانات!$B63&lt;&gt;"",بيانات!$G63="أنثى",بيانات!$H63&lt;13),COUNTA($T$3:T63),"")</f>
        <v/>
      </c>
      <c r="U63">
        <f>IF(AND(بيانات!$B63&lt;&gt;"",بيانات!$G63="ذكر",بيانات!$H63&gt;=13),COUNTA($U$3:U63),"")</f>
        <v/>
      </c>
      <c r="V63">
        <f>IF(AND(بيانات!$B63&lt;&gt;"",بيانات!$G63="أنثى",بيانات!$H63&gt;=13),COUNTA($V$3:V63),"")</f>
        <v/>
      </c>
    </row>
    <row r="64">
      <c r="A64" s="41">
        <f>IFERROR(INDEX(بيانات!$A$3:$A$202,MATCH(59,$S$3:$S$202,0)),"")</f>
        <v/>
      </c>
      <c r="B64" s="41">
        <f>IFERROR(INDEX(بيانات!$B$3:$B$202,MATCH(59,$S$3:$S$202,0))&amp;" "&amp;INDEX(بيانات!$C$3:$C$202,MATCH(59,$S$3:$S$202,0)),"")</f>
        <v/>
      </c>
      <c r="C64" s="41">
        <f>IFERROR(INDEX(بيانات!$H$3:$H$202,MATCH(59,$S$3:$S$202,0)),"")</f>
        <v/>
      </c>
      <c r="E64" s="41">
        <f>IFERROR(INDEX(بيانات!$A$3:$A$202,MATCH(59,$T$3:$T$202,0)),"")</f>
        <v/>
      </c>
      <c r="F64" s="41">
        <f>IFERROR(INDEX(بيانات!$B$3:$B$202,MATCH(59,$T$3:$T$202,0))&amp;" "&amp;INDEX(بيانات!$C$3:$C$202,MATCH(59,$T$3:$T$202,0)),"")</f>
        <v/>
      </c>
      <c r="G64" s="41">
        <f>IFERROR(INDEX(بيانات!$H$3:$H$202,MATCH(59,$T$3:$T$202,0)),"")</f>
        <v/>
      </c>
      <c r="I64" s="41">
        <f>IFERROR(INDEX(بيانات!$A$3:$A$202,MATCH(59,$U$3:$U$202,0)),"")</f>
        <v/>
      </c>
      <c r="J64" s="41">
        <f>IFERROR(INDEX(بيانات!$B$3:$B$202,MATCH(59,$U$3:$U$202,0))&amp;" "&amp;INDEX(بيانات!$C$3:$C$202,MATCH(59,$U$3:$U$202,0)),"")</f>
        <v/>
      </c>
      <c r="K64" s="41">
        <f>IFERROR(INDEX(بيانات!$H$3:$H$202,MATCH(59,$U$3:$U$202,0)),"")</f>
        <v/>
      </c>
      <c r="M64" s="41">
        <f>IFERROR(INDEX(بيانات!$A$3:$A$202,MATCH(59,$V$3:$V$202,0)),"")</f>
        <v/>
      </c>
      <c r="N64" s="41">
        <f>IFERROR(INDEX(بيانات!$B$3:$B$202,MATCH(59,$V$3:$V$202,0))&amp;" "&amp;INDEX(بيانات!$C$3:$C$202,MATCH(59,$V$3:$V$202,0)),"")</f>
        <v/>
      </c>
      <c r="O64" s="41">
        <f>IFERROR(INDEX(بيانات!$H$3:$H$202,MATCH(59,$V$3:$V$202,0)),"")</f>
        <v/>
      </c>
      <c r="S64">
        <f>IF(AND(بيانات!$B64&lt;&gt;"",بيانات!$G64="ذكر",بيانات!$H64&lt;13),COUNTA($S$3:S64),"")</f>
        <v/>
      </c>
      <c r="T64">
        <f>IF(AND(بيانات!$B64&lt;&gt;"",بيانات!$G64="أنثى",بيانات!$H64&lt;13),COUNTA($T$3:T64),"")</f>
        <v/>
      </c>
      <c r="U64">
        <f>IF(AND(بيانات!$B64&lt;&gt;"",بيانات!$G64="ذكر",بيانات!$H64&gt;=13),COUNTA($U$3:U64),"")</f>
        <v/>
      </c>
      <c r="V64">
        <f>IF(AND(بيانات!$B64&lt;&gt;"",بيانات!$G64="أنثى",بيانات!$H64&gt;=13),COUNTA($V$3:V64),"")</f>
        <v/>
      </c>
    </row>
    <row r="65">
      <c r="A65" s="41">
        <f>IFERROR(INDEX(بيانات!$A$3:$A$202,MATCH(60,$S$3:$S$202,0)),"")</f>
        <v/>
      </c>
      <c r="B65" s="41">
        <f>IFERROR(INDEX(بيانات!$B$3:$B$202,MATCH(60,$S$3:$S$202,0))&amp;" "&amp;INDEX(بيانات!$C$3:$C$202,MATCH(60,$S$3:$S$202,0)),"")</f>
        <v/>
      </c>
      <c r="C65" s="41">
        <f>IFERROR(INDEX(بيانات!$H$3:$H$202,MATCH(60,$S$3:$S$202,0)),"")</f>
        <v/>
      </c>
      <c r="E65" s="41">
        <f>IFERROR(INDEX(بيانات!$A$3:$A$202,MATCH(60,$T$3:$T$202,0)),"")</f>
        <v/>
      </c>
      <c r="F65" s="41">
        <f>IFERROR(INDEX(بيانات!$B$3:$B$202,MATCH(60,$T$3:$T$202,0))&amp;" "&amp;INDEX(بيانات!$C$3:$C$202,MATCH(60,$T$3:$T$202,0)),"")</f>
        <v/>
      </c>
      <c r="G65" s="41">
        <f>IFERROR(INDEX(بيانات!$H$3:$H$202,MATCH(60,$T$3:$T$202,0)),"")</f>
        <v/>
      </c>
      <c r="I65" s="41">
        <f>IFERROR(INDEX(بيانات!$A$3:$A$202,MATCH(60,$U$3:$U$202,0)),"")</f>
        <v/>
      </c>
      <c r="J65" s="41">
        <f>IFERROR(INDEX(بيانات!$B$3:$B$202,MATCH(60,$U$3:$U$202,0))&amp;" "&amp;INDEX(بيانات!$C$3:$C$202,MATCH(60,$U$3:$U$202,0)),"")</f>
        <v/>
      </c>
      <c r="K65" s="41">
        <f>IFERROR(INDEX(بيانات!$H$3:$H$202,MATCH(60,$U$3:$U$202,0)),"")</f>
        <v/>
      </c>
      <c r="M65" s="41">
        <f>IFERROR(INDEX(بيانات!$A$3:$A$202,MATCH(60,$V$3:$V$202,0)),"")</f>
        <v/>
      </c>
      <c r="N65" s="41">
        <f>IFERROR(INDEX(بيانات!$B$3:$B$202,MATCH(60,$V$3:$V$202,0))&amp;" "&amp;INDEX(بيانات!$C$3:$C$202,MATCH(60,$V$3:$V$202,0)),"")</f>
        <v/>
      </c>
      <c r="O65" s="41">
        <f>IFERROR(INDEX(بيانات!$H$3:$H$202,MATCH(60,$V$3:$V$202,0)),"")</f>
        <v/>
      </c>
      <c r="S65">
        <f>IF(AND(بيانات!$B65&lt;&gt;"",بيانات!$G65="ذكر",بيانات!$H65&lt;13),COUNTA($S$3:S65),"")</f>
        <v/>
      </c>
      <c r="T65">
        <f>IF(AND(بيانات!$B65&lt;&gt;"",بيانات!$G65="أنثى",بيانات!$H65&lt;13),COUNTA($T$3:T65),"")</f>
        <v/>
      </c>
      <c r="U65">
        <f>IF(AND(بيانات!$B65&lt;&gt;"",بيانات!$G65="ذكر",بيانات!$H65&gt;=13),COUNTA($U$3:U65),"")</f>
        <v/>
      </c>
      <c r="V65">
        <f>IF(AND(بيانات!$B65&lt;&gt;"",بيانات!$G65="أنثى",بيانات!$H65&gt;=13),COUNTA($V$3:V65),"")</f>
        <v/>
      </c>
    </row>
    <row r="66">
      <c r="A66" s="41">
        <f>IFERROR(INDEX(بيانات!$A$3:$A$202,MATCH(61,$S$3:$S$202,0)),"")</f>
        <v/>
      </c>
      <c r="B66" s="41">
        <f>IFERROR(INDEX(بيانات!$B$3:$B$202,MATCH(61,$S$3:$S$202,0))&amp;" "&amp;INDEX(بيانات!$C$3:$C$202,MATCH(61,$S$3:$S$202,0)),"")</f>
        <v/>
      </c>
      <c r="C66" s="41">
        <f>IFERROR(INDEX(بيانات!$H$3:$H$202,MATCH(61,$S$3:$S$202,0)),"")</f>
        <v/>
      </c>
      <c r="E66" s="41">
        <f>IFERROR(INDEX(بيانات!$A$3:$A$202,MATCH(61,$T$3:$T$202,0)),"")</f>
        <v/>
      </c>
      <c r="F66" s="41">
        <f>IFERROR(INDEX(بيانات!$B$3:$B$202,MATCH(61,$T$3:$T$202,0))&amp;" "&amp;INDEX(بيانات!$C$3:$C$202,MATCH(61,$T$3:$T$202,0)),"")</f>
        <v/>
      </c>
      <c r="G66" s="41">
        <f>IFERROR(INDEX(بيانات!$H$3:$H$202,MATCH(61,$T$3:$T$202,0)),"")</f>
        <v/>
      </c>
      <c r="I66" s="41">
        <f>IFERROR(INDEX(بيانات!$A$3:$A$202,MATCH(61,$U$3:$U$202,0)),"")</f>
        <v/>
      </c>
      <c r="J66" s="41">
        <f>IFERROR(INDEX(بيانات!$B$3:$B$202,MATCH(61,$U$3:$U$202,0))&amp;" "&amp;INDEX(بيانات!$C$3:$C$202,MATCH(61,$U$3:$U$202,0)),"")</f>
        <v/>
      </c>
      <c r="K66" s="41">
        <f>IFERROR(INDEX(بيانات!$H$3:$H$202,MATCH(61,$U$3:$U$202,0)),"")</f>
        <v/>
      </c>
      <c r="M66" s="41">
        <f>IFERROR(INDEX(بيانات!$A$3:$A$202,MATCH(61,$V$3:$V$202,0)),"")</f>
        <v/>
      </c>
      <c r="N66" s="41">
        <f>IFERROR(INDEX(بيانات!$B$3:$B$202,MATCH(61,$V$3:$V$202,0))&amp;" "&amp;INDEX(بيانات!$C$3:$C$202,MATCH(61,$V$3:$V$202,0)),"")</f>
        <v/>
      </c>
      <c r="O66" s="41">
        <f>IFERROR(INDEX(بيانات!$H$3:$H$202,MATCH(61,$V$3:$V$202,0)),"")</f>
        <v/>
      </c>
      <c r="S66">
        <f>IF(AND(بيانات!$B66&lt;&gt;"",بيانات!$G66="ذكر",بيانات!$H66&lt;13),COUNTA($S$3:S66),"")</f>
        <v/>
      </c>
      <c r="T66">
        <f>IF(AND(بيانات!$B66&lt;&gt;"",بيانات!$G66="أنثى",بيانات!$H66&lt;13),COUNTA($T$3:T66),"")</f>
        <v/>
      </c>
      <c r="U66">
        <f>IF(AND(بيانات!$B66&lt;&gt;"",بيانات!$G66="ذكر",بيانات!$H66&gt;=13),COUNTA($U$3:U66),"")</f>
        <v/>
      </c>
      <c r="V66">
        <f>IF(AND(بيانات!$B66&lt;&gt;"",بيانات!$G66="أنثى",بيانات!$H66&gt;=13),COUNTA($V$3:V66),"")</f>
        <v/>
      </c>
    </row>
    <row r="67">
      <c r="A67" s="41">
        <f>IFERROR(INDEX(بيانات!$A$3:$A$202,MATCH(62,$S$3:$S$202,0)),"")</f>
        <v/>
      </c>
      <c r="B67" s="41">
        <f>IFERROR(INDEX(بيانات!$B$3:$B$202,MATCH(62,$S$3:$S$202,0))&amp;" "&amp;INDEX(بيانات!$C$3:$C$202,MATCH(62,$S$3:$S$202,0)),"")</f>
        <v/>
      </c>
      <c r="C67" s="41">
        <f>IFERROR(INDEX(بيانات!$H$3:$H$202,MATCH(62,$S$3:$S$202,0)),"")</f>
        <v/>
      </c>
      <c r="E67" s="41">
        <f>IFERROR(INDEX(بيانات!$A$3:$A$202,MATCH(62,$T$3:$T$202,0)),"")</f>
        <v/>
      </c>
      <c r="F67" s="41">
        <f>IFERROR(INDEX(بيانات!$B$3:$B$202,MATCH(62,$T$3:$T$202,0))&amp;" "&amp;INDEX(بيانات!$C$3:$C$202,MATCH(62,$T$3:$T$202,0)),"")</f>
        <v/>
      </c>
      <c r="G67" s="41">
        <f>IFERROR(INDEX(بيانات!$H$3:$H$202,MATCH(62,$T$3:$T$202,0)),"")</f>
        <v/>
      </c>
      <c r="I67" s="41">
        <f>IFERROR(INDEX(بيانات!$A$3:$A$202,MATCH(62,$U$3:$U$202,0)),"")</f>
        <v/>
      </c>
      <c r="J67" s="41">
        <f>IFERROR(INDEX(بيانات!$B$3:$B$202,MATCH(62,$U$3:$U$202,0))&amp;" "&amp;INDEX(بيانات!$C$3:$C$202,MATCH(62,$U$3:$U$202,0)),"")</f>
        <v/>
      </c>
      <c r="K67" s="41">
        <f>IFERROR(INDEX(بيانات!$H$3:$H$202,MATCH(62,$U$3:$U$202,0)),"")</f>
        <v/>
      </c>
      <c r="M67" s="41">
        <f>IFERROR(INDEX(بيانات!$A$3:$A$202,MATCH(62,$V$3:$V$202,0)),"")</f>
        <v/>
      </c>
      <c r="N67" s="41">
        <f>IFERROR(INDEX(بيانات!$B$3:$B$202,MATCH(62,$V$3:$V$202,0))&amp;" "&amp;INDEX(بيانات!$C$3:$C$202,MATCH(62,$V$3:$V$202,0)),"")</f>
        <v/>
      </c>
      <c r="O67" s="41">
        <f>IFERROR(INDEX(بيانات!$H$3:$H$202,MATCH(62,$V$3:$V$202,0)),"")</f>
        <v/>
      </c>
      <c r="S67">
        <f>IF(AND(بيانات!$B67&lt;&gt;"",بيانات!$G67="ذكر",بيانات!$H67&lt;13),COUNTA($S$3:S67),"")</f>
        <v/>
      </c>
      <c r="T67">
        <f>IF(AND(بيانات!$B67&lt;&gt;"",بيانات!$G67="أنثى",بيانات!$H67&lt;13),COUNTA($T$3:T67),"")</f>
        <v/>
      </c>
      <c r="U67">
        <f>IF(AND(بيانات!$B67&lt;&gt;"",بيانات!$G67="ذكر",بيانات!$H67&gt;=13),COUNTA($U$3:U67),"")</f>
        <v/>
      </c>
      <c r="V67">
        <f>IF(AND(بيانات!$B67&lt;&gt;"",بيانات!$G67="أنثى",بيانات!$H67&gt;=13),COUNTA($V$3:V67),"")</f>
        <v/>
      </c>
    </row>
    <row r="68">
      <c r="A68" s="41">
        <f>IFERROR(INDEX(بيانات!$A$3:$A$202,MATCH(63,$S$3:$S$202,0)),"")</f>
        <v/>
      </c>
      <c r="B68" s="41">
        <f>IFERROR(INDEX(بيانات!$B$3:$B$202,MATCH(63,$S$3:$S$202,0))&amp;" "&amp;INDEX(بيانات!$C$3:$C$202,MATCH(63,$S$3:$S$202,0)),"")</f>
        <v/>
      </c>
      <c r="C68" s="41">
        <f>IFERROR(INDEX(بيانات!$H$3:$H$202,MATCH(63,$S$3:$S$202,0)),"")</f>
        <v/>
      </c>
      <c r="E68" s="41">
        <f>IFERROR(INDEX(بيانات!$A$3:$A$202,MATCH(63,$T$3:$T$202,0)),"")</f>
        <v/>
      </c>
      <c r="F68" s="41">
        <f>IFERROR(INDEX(بيانات!$B$3:$B$202,MATCH(63,$T$3:$T$202,0))&amp;" "&amp;INDEX(بيانات!$C$3:$C$202,MATCH(63,$T$3:$T$202,0)),"")</f>
        <v/>
      </c>
      <c r="G68" s="41">
        <f>IFERROR(INDEX(بيانات!$H$3:$H$202,MATCH(63,$T$3:$T$202,0)),"")</f>
        <v/>
      </c>
      <c r="I68" s="41">
        <f>IFERROR(INDEX(بيانات!$A$3:$A$202,MATCH(63,$U$3:$U$202,0)),"")</f>
        <v/>
      </c>
      <c r="J68" s="41">
        <f>IFERROR(INDEX(بيانات!$B$3:$B$202,MATCH(63,$U$3:$U$202,0))&amp;" "&amp;INDEX(بيانات!$C$3:$C$202,MATCH(63,$U$3:$U$202,0)),"")</f>
        <v/>
      </c>
      <c r="K68" s="41">
        <f>IFERROR(INDEX(بيانات!$H$3:$H$202,MATCH(63,$U$3:$U$202,0)),"")</f>
        <v/>
      </c>
      <c r="M68" s="41">
        <f>IFERROR(INDEX(بيانات!$A$3:$A$202,MATCH(63,$V$3:$V$202,0)),"")</f>
        <v/>
      </c>
      <c r="N68" s="41">
        <f>IFERROR(INDEX(بيانات!$B$3:$B$202,MATCH(63,$V$3:$V$202,0))&amp;" "&amp;INDEX(بيانات!$C$3:$C$202,MATCH(63,$V$3:$V$202,0)),"")</f>
        <v/>
      </c>
      <c r="O68" s="41">
        <f>IFERROR(INDEX(بيانات!$H$3:$H$202,MATCH(63,$V$3:$V$202,0)),"")</f>
        <v/>
      </c>
      <c r="S68">
        <f>IF(AND(بيانات!$B68&lt;&gt;"",بيانات!$G68="ذكر",بيانات!$H68&lt;13),COUNTA($S$3:S68),"")</f>
        <v/>
      </c>
      <c r="T68">
        <f>IF(AND(بيانات!$B68&lt;&gt;"",بيانات!$G68="أنثى",بيانات!$H68&lt;13),COUNTA($T$3:T68),"")</f>
        <v/>
      </c>
      <c r="U68">
        <f>IF(AND(بيانات!$B68&lt;&gt;"",بيانات!$G68="ذكر",بيانات!$H68&gt;=13),COUNTA($U$3:U68),"")</f>
        <v/>
      </c>
      <c r="V68">
        <f>IF(AND(بيانات!$B68&lt;&gt;"",بيانات!$G68="أنثى",بيانات!$H68&gt;=13),COUNTA($V$3:V68),"")</f>
        <v/>
      </c>
    </row>
    <row r="69">
      <c r="A69" s="41">
        <f>IFERROR(INDEX(بيانات!$A$3:$A$202,MATCH(64,$S$3:$S$202,0)),"")</f>
        <v/>
      </c>
      <c r="B69" s="41">
        <f>IFERROR(INDEX(بيانات!$B$3:$B$202,MATCH(64,$S$3:$S$202,0))&amp;" "&amp;INDEX(بيانات!$C$3:$C$202,MATCH(64,$S$3:$S$202,0)),"")</f>
        <v/>
      </c>
      <c r="C69" s="41">
        <f>IFERROR(INDEX(بيانات!$H$3:$H$202,MATCH(64,$S$3:$S$202,0)),"")</f>
        <v/>
      </c>
      <c r="E69" s="41">
        <f>IFERROR(INDEX(بيانات!$A$3:$A$202,MATCH(64,$T$3:$T$202,0)),"")</f>
        <v/>
      </c>
      <c r="F69" s="41">
        <f>IFERROR(INDEX(بيانات!$B$3:$B$202,MATCH(64,$T$3:$T$202,0))&amp;" "&amp;INDEX(بيانات!$C$3:$C$202,MATCH(64,$T$3:$T$202,0)),"")</f>
        <v/>
      </c>
      <c r="G69" s="41">
        <f>IFERROR(INDEX(بيانات!$H$3:$H$202,MATCH(64,$T$3:$T$202,0)),"")</f>
        <v/>
      </c>
      <c r="I69" s="41">
        <f>IFERROR(INDEX(بيانات!$A$3:$A$202,MATCH(64,$U$3:$U$202,0)),"")</f>
        <v/>
      </c>
      <c r="J69" s="41">
        <f>IFERROR(INDEX(بيانات!$B$3:$B$202,MATCH(64,$U$3:$U$202,0))&amp;" "&amp;INDEX(بيانات!$C$3:$C$202,MATCH(64,$U$3:$U$202,0)),"")</f>
        <v/>
      </c>
      <c r="K69" s="41">
        <f>IFERROR(INDEX(بيانات!$H$3:$H$202,MATCH(64,$U$3:$U$202,0)),"")</f>
        <v/>
      </c>
      <c r="M69" s="41">
        <f>IFERROR(INDEX(بيانات!$A$3:$A$202,MATCH(64,$V$3:$V$202,0)),"")</f>
        <v/>
      </c>
      <c r="N69" s="41">
        <f>IFERROR(INDEX(بيانات!$B$3:$B$202,MATCH(64,$V$3:$V$202,0))&amp;" "&amp;INDEX(بيانات!$C$3:$C$202,MATCH(64,$V$3:$V$202,0)),"")</f>
        <v/>
      </c>
      <c r="O69" s="41">
        <f>IFERROR(INDEX(بيانات!$H$3:$H$202,MATCH(64,$V$3:$V$202,0)),"")</f>
        <v/>
      </c>
      <c r="S69">
        <f>IF(AND(بيانات!$B69&lt;&gt;"",بيانات!$G69="ذكر",بيانات!$H69&lt;13),COUNTA($S$3:S69),"")</f>
        <v/>
      </c>
      <c r="T69">
        <f>IF(AND(بيانات!$B69&lt;&gt;"",بيانات!$G69="أنثى",بيانات!$H69&lt;13),COUNTA($T$3:T69),"")</f>
        <v/>
      </c>
      <c r="U69">
        <f>IF(AND(بيانات!$B69&lt;&gt;"",بيانات!$G69="ذكر",بيانات!$H69&gt;=13),COUNTA($U$3:U69),"")</f>
        <v/>
      </c>
      <c r="V69">
        <f>IF(AND(بيانات!$B69&lt;&gt;"",بيانات!$G69="أنثى",بيانات!$H69&gt;=13),COUNTA($V$3:V69),"")</f>
        <v/>
      </c>
    </row>
    <row r="70">
      <c r="A70" s="41">
        <f>IFERROR(INDEX(بيانات!$A$3:$A$202,MATCH(65,$S$3:$S$202,0)),"")</f>
        <v/>
      </c>
      <c r="B70" s="41">
        <f>IFERROR(INDEX(بيانات!$B$3:$B$202,MATCH(65,$S$3:$S$202,0))&amp;" "&amp;INDEX(بيانات!$C$3:$C$202,MATCH(65,$S$3:$S$202,0)),"")</f>
        <v/>
      </c>
      <c r="C70" s="41">
        <f>IFERROR(INDEX(بيانات!$H$3:$H$202,MATCH(65,$S$3:$S$202,0)),"")</f>
        <v/>
      </c>
      <c r="E70" s="41">
        <f>IFERROR(INDEX(بيانات!$A$3:$A$202,MATCH(65,$T$3:$T$202,0)),"")</f>
        <v/>
      </c>
      <c r="F70" s="41">
        <f>IFERROR(INDEX(بيانات!$B$3:$B$202,MATCH(65,$T$3:$T$202,0))&amp;" "&amp;INDEX(بيانات!$C$3:$C$202,MATCH(65,$T$3:$T$202,0)),"")</f>
        <v/>
      </c>
      <c r="G70" s="41">
        <f>IFERROR(INDEX(بيانات!$H$3:$H$202,MATCH(65,$T$3:$T$202,0)),"")</f>
        <v/>
      </c>
      <c r="I70" s="41">
        <f>IFERROR(INDEX(بيانات!$A$3:$A$202,MATCH(65,$U$3:$U$202,0)),"")</f>
        <v/>
      </c>
      <c r="J70" s="41">
        <f>IFERROR(INDEX(بيانات!$B$3:$B$202,MATCH(65,$U$3:$U$202,0))&amp;" "&amp;INDEX(بيانات!$C$3:$C$202,MATCH(65,$U$3:$U$202,0)),"")</f>
        <v/>
      </c>
      <c r="K70" s="41">
        <f>IFERROR(INDEX(بيانات!$H$3:$H$202,MATCH(65,$U$3:$U$202,0)),"")</f>
        <v/>
      </c>
      <c r="M70" s="41">
        <f>IFERROR(INDEX(بيانات!$A$3:$A$202,MATCH(65,$V$3:$V$202,0)),"")</f>
        <v/>
      </c>
      <c r="N70" s="41">
        <f>IFERROR(INDEX(بيانات!$B$3:$B$202,MATCH(65,$V$3:$V$202,0))&amp;" "&amp;INDEX(بيانات!$C$3:$C$202,MATCH(65,$V$3:$V$202,0)),"")</f>
        <v/>
      </c>
      <c r="O70" s="41">
        <f>IFERROR(INDEX(بيانات!$H$3:$H$202,MATCH(65,$V$3:$V$202,0)),"")</f>
        <v/>
      </c>
      <c r="S70">
        <f>IF(AND(بيانات!$B70&lt;&gt;"",بيانات!$G70="ذكر",بيانات!$H70&lt;13),COUNTA($S$3:S70),"")</f>
        <v/>
      </c>
      <c r="T70">
        <f>IF(AND(بيانات!$B70&lt;&gt;"",بيانات!$G70="أنثى",بيانات!$H70&lt;13),COUNTA($T$3:T70),"")</f>
        <v/>
      </c>
      <c r="U70">
        <f>IF(AND(بيانات!$B70&lt;&gt;"",بيانات!$G70="ذكر",بيانات!$H70&gt;=13),COUNTA($U$3:U70),"")</f>
        <v/>
      </c>
      <c r="V70">
        <f>IF(AND(بيانات!$B70&lt;&gt;"",بيانات!$G70="أنثى",بيانات!$H70&gt;=13),COUNTA($V$3:V70),"")</f>
        <v/>
      </c>
    </row>
    <row r="71">
      <c r="A71" s="41">
        <f>IFERROR(INDEX(بيانات!$A$3:$A$202,MATCH(66,$S$3:$S$202,0)),"")</f>
        <v/>
      </c>
      <c r="B71" s="41">
        <f>IFERROR(INDEX(بيانات!$B$3:$B$202,MATCH(66,$S$3:$S$202,0))&amp;" "&amp;INDEX(بيانات!$C$3:$C$202,MATCH(66,$S$3:$S$202,0)),"")</f>
        <v/>
      </c>
      <c r="C71" s="41">
        <f>IFERROR(INDEX(بيانات!$H$3:$H$202,MATCH(66,$S$3:$S$202,0)),"")</f>
        <v/>
      </c>
      <c r="E71" s="41">
        <f>IFERROR(INDEX(بيانات!$A$3:$A$202,MATCH(66,$T$3:$T$202,0)),"")</f>
        <v/>
      </c>
      <c r="F71" s="41">
        <f>IFERROR(INDEX(بيانات!$B$3:$B$202,MATCH(66,$T$3:$T$202,0))&amp;" "&amp;INDEX(بيانات!$C$3:$C$202,MATCH(66,$T$3:$T$202,0)),"")</f>
        <v/>
      </c>
      <c r="G71" s="41">
        <f>IFERROR(INDEX(بيانات!$H$3:$H$202,MATCH(66,$T$3:$T$202,0)),"")</f>
        <v/>
      </c>
      <c r="I71" s="41">
        <f>IFERROR(INDEX(بيانات!$A$3:$A$202,MATCH(66,$U$3:$U$202,0)),"")</f>
        <v/>
      </c>
      <c r="J71" s="41">
        <f>IFERROR(INDEX(بيانات!$B$3:$B$202,MATCH(66,$U$3:$U$202,0))&amp;" "&amp;INDEX(بيانات!$C$3:$C$202,MATCH(66,$U$3:$U$202,0)),"")</f>
        <v/>
      </c>
      <c r="K71" s="41">
        <f>IFERROR(INDEX(بيانات!$H$3:$H$202,MATCH(66,$U$3:$U$202,0)),"")</f>
        <v/>
      </c>
      <c r="M71" s="41">
        <f>IFERROR(INDEX(بيانات!$A$3:$A$202,MATCH(66,$V$3:$V$202,0)),"")</f>
        <v/>
      </c>
      <c r="N71" s="41">
        <f>IFERROR(INDEX(بيانات!$B$3:$B$202,MATCH(66,$V$3:$V$202,0))&amp;" "&amp;INDEX(بيانات!$C$3:$C$202,MATCH(66,$V$3:$V$202,0)),"")</f>
        <v/>
      </c>
      <c r="O71" s="41">
        <f>IFERROR(INDEX(بيانات!$H$3:$H$202,MATCH(66,$V$3:$V$202,0)),"")</f>
        <v/>
      </c>
      <c r="S71">
        <f>IF(AND(بيانات!$B71&lt;&gt;"",بيانات!$G71="ذكر",بيانات!$H71&lt;13),COUNTA($S$3:S71),"")</f>
        <v/>
      </c>
      <c r="T71">
        <f>IF(AND(بيانات!$B71&lt;&gt;"",بيانات!$G71="أنثى",بيانات!$H71&lt;13),COUNTA($T$3:T71),"")</f>
        <v/>
      </c>
      <c r="U71">
        <f>IF(AND(بيانات!$B71&lt;&gt;"",بيانات!$G71="ذكر",بيانات!$H71&gt;=13),COUNTA($U$3:U71),"")</f>
        <v/>
      </c>
      <c r="V71">
        <f>IF(AND(بيانات!$B71&lt;&gt;"",بيانات!$G71="أنثى",بيانات!$H71&gt;=13),COUNTA($V$3:V71),"")</f>
        <v/>
      </c>
    </row>
    <row r="72">
      <c r="A72" s="41">
        <f>IFERROR(INDEX(بيانات!$A$3:$A$202,MATCH(67,$S$3:$S$202,0)),"")</f>
        <v/>
      </c>
      <c r="B72" s="41">
        <f>IFERROR(INDEX(بيانات!$B$3:$B$202,MATCH(67,$S$3:$S$202,0))&amp;" "&amp;INDEX(بيانات!$C$3:$C$202,MATCH(67,$S$3:$S$202,0)),"")</f>
        <v/>
      </c>
      <c r="C72" s="41">
        <f>IFERROR(INDEX(بيانات!$H$3:$H$202,MATCH(67,$S$3:$S$202,0)),"")</f>
        <v/>
      </c>
      <c r="E72" s="41">
        <f>IFERROR(INDEX(بيانات!$A$3:$A$202,MATCH(67,$T$3:$T$202,0)),"")</f>
        <v/>
      </c>
      <c r="F72" s="41">
        <f>IFERROR(INDEX(بيانات!$B$3:$B$202,MATCH(67,$T$3:$T$202,0))&amp;" "&amp;INDEX(بيانات!$C$3:$C$202,MATCH(67,$T$3:$T$202,0)),"")</f>
        <v/>
      </c>
      <c r="G72" s="41">
        <f>IFERROR(INDEX(بيانات!$H$3:$H$202,MATCH(67,$T$3:$T$202,0)),"")</f>
        <v/>
      </c>
      <c r="I72" s="41">
        <f>IFERROR(INDEX(بيانات!$A$3:$A$202,MATCH(67,$U$3:$U$202,0)),"")</f>
        <v/>
      </c>
      <c r="J72" s="41">
        <f>IFERROR(INDEX(بيانات!$B$3:$B$202,MATCH(67,$U$3:$U$202,0))&amp;" "&amp;INDEX(بيانات!$C$3:$C$202,MATCH(67,$U$3:$U$202,0)),"")</f>
        <v/>
      </c>
      <c r="K72" s="41">
        <f>IFERROR(INDEX(بيانات!$H$3:$H$202,MATCH(67,$U$3:$U$202,0)),"")</f>
        <v/>
      </c>
      <c r="M72" s="41">
        <f>IFERROR(INDEX(بيانات!$A$3:$A$202,MATCH(67,$V$3:$V$202,0)),"")</f>
        <v/>
      </c>
      <c r="N72" s="41">
        <f>IFERROR(INDEX(بيانات!$B$3:$B$202,MATCH(67,$V$3:$V$202,0))&amp;" "&amp;INDEX(بيانات!$C$3:$C$202,MATCH(67,$V$3:$V$202,0)),"")</f>
        <v/>
      </c>
      <c r="O72" s="41">
        <f>IFERROR(INDEX(بيانات!$H$3:$H$202,MATCH(67,$V$3:$V$202,0)),"")</f>
        <v/>
      </c>
      <c r="S72">
        <f>IF(AND(بيانات!$B72&lt;&gt;"",بيانات!$G72="ذكر",بيانات!$H72&lt;13),COUNTA($S$3:S72),"")</f>
        <v/>
      </c>
      <c r="T72">
        <f>IF(AND(بيانات!$B72&lt;&gt;"",بيانات!$G72="أنثى",بيانات!$H72&lt;13),COUNTA($T$3:T72),"")</f>
        <v/>
      </c>
      <c r="U72">
        <f>IF(AND(بيانات!$B72&lt;&gt;"",بيانات!$G72="ذكر",بيانات!$H72&gt;=13),COUNTA($U$3:U72),"")</f>
        <v/>
      </c>
      <c r="V72">
        <f>IF(AND(بيانات!$B72&lt;&gt;"",بيانات!$G72="أنثى",بيانات!$H72&gt;=13),COUNTA($V$3:V72),"")</f>
        <v/>
      </c>
    </row>
    <row r="73">
      <c r="A73" s="41">
        <f>IFERROR(INDEX(بيانات!$A$3:$A$202,MATCH(68,$S$3:$S$202,0)),"")</f>
        <v/>
      </c>
      <c r="B73" s="41">
        <f>IFERROR(INDEX(بيانات!$B$3:$B$202,MATCH(68,$S$3:$S$202,0))&amp;" "&amp;INDEX(بيانات!$C$3:$C$202,MATCH(68,$S$3:$S$202,0)),"")</f>
        <v/>
      </c>
      <c r="C73" s="41">
        <f>IFERROR(INDEX(بيانات!$H$3:$H$202,MATCH(68,$S$3:$S$202,0)),"")</f>
        <v/>
      </c>
      <c r="E73" s="41">
        <f>IFERROR(INDEX(بيانات!$A$3:$A$202,MATCH(68,$T$3:$T$202,0)),"")</f>
        <v/>
      </c>
      <c r="F73" s="41">
        <f>IFERROR(INDEX(بيانات!$B$3:$B$202,MATCH(68,$T$3:$T$202,0))&amp;" "&amp;INDEX(بيانات!$C$3:$C$202,MATCH(68,$T$3:$T$202,0)),"")</f>
        <v/>
      </c>
      <c r="G73" s="41">
        <f>IFERROR(INDEX(بيانات!$H$3:$H$202,MATCH(68,$T$3:$T$202,0)),"")</f>
        <v/>
      </c>
      <c r="I73" s="41">
        <f>IFERROR(INDEX(بيانات!$A$3:$A$202,MATCH(68,$U$3:$U$202,0)),"")</f>
        <v/>
      </c>
      <c r="J73" s="41">
        <f>IFERROR(INDEX(بيانات!$B$3:$B$202,MATCH(68,$U$3:$U$202,0))&amp;" "&amp;INDEX(بيانات!$C$3:$C$202,MATCH(68,$U$3:$U$202,0)),"")</f>
        <v/>
      </c>
      <c r="K73" s="41">
        <f>IFERROR(INDEX(بيانات!$H$3:$H$202,MATCH(68,$U$3:$U$202,0)),"")</f>
        <v/>
      </c>
      <c r="M73" s="41">
        <f>IFERROR(INDEX(بيانات!$A$3:$A$202,MATCH(68,$V$3:$V$202,0)),"")</f>
        <v/>
      </c>
      <c r="N73" s="41">
        <f>IFERROR(INDEX(بيانات!$B$3:$B$202,MATCH(68,$V$3:$V$202,0))&amp;" "&amp;INDEX(بيانات!$C$3:$C$202,MATCH(68,$V$3:$V$202,0)),"")</f>
        <v/>
      </c>
      <c r="O73" s="41">
        <f>IFERROR(INDEX(بيانات!$H$3:$H$202,MATCH(68,$V$3:$V$202,0)),"")</f>
        <v/>
      </c>
      <c r="S73">
        <f>IF(AND(بيانات!$B73&lt;&gt;"",بيانات!$G73="ذكر",بيانات!$H73&lt;13),COUNTA($S$3:S73),"")</f>
        <v/>
      </c>
      <c r="T73">
        <f>IF(AND(بيانات!$B73&lt;&gt;"",بيانات!$G73="أنثى",بيانات!$H73&lt;13),COUNTA($T$3:T73),"")</f>
        <v/>
      </c>
      <c r="U73">
        <f>IF(AND(بيانات!$B73&lt;&gt;"",بيانات!$G73="ذكر",بيانات!$H73&gt;=13),COUNTA($U$3:U73),"")</f>
        <v/>
      </c>
      <c r="V73">
        <f>IF(AND(بيانات!$B73&lt;&gt;"",بيانات!$G73="أنثى",بيانات!$H73&gt;=13),COUNTA($V$3:V73),"")</f>
        <v/>
      </c>
    </row>
    <row r="74">
      <c r="A74" s="41">
        <f>IFERROR(INDEX(بيانات!$A$3:$A$202,MATCH(69,$S$3:$S$202,0)),"")</f>
        <v/>
      </c>
      <c r="B74" s="41">
        <f>IFERROR(INDEX(بيانات!$B$3:$B$202,MATCH(69,$S$3:$S$202,0))&amp;" "&amp;INDEX(بيانات!$C$3:$C$202,MATCH(69,$S$3:$S$202,0)),"")</f>
        <v/>
      </c>
      <c r="C74" s="41">
        <f>IFERROR(INDEX(بيانات!$H$3:$H$202,MATCH(69,$S$3:$S$202,0)),"")</f>
        <v/>
      </c>
      <c r="E74" s="41">
        <f>IFERROR(INDEX(بيانات!$A$3:$A$202,MATCH(69,$T$3:$T$202,0)),"")</f>
        <v/>
      </c>
      <c r="F74" s="41">
        <f>IFERROR(INDEX(بيانات!$B$3:$B$202,MATCH(69,$T$3:$T$202,0))&amp;" "&amp;INDEX(بيانات!$C$3:$C$202,MATCH(69,$T$3:$T$202,0)),"")</f>
        <v/>
      </c>
      <c r="G74" s="41">
        <f>IFERROR(INDEX(بيانات!$H$3:$H$202,MATCH(69,$T$3:$T$202,0)),"")</f>
        <v/>
      </c>
      <c r="I74" s="41">
        <f>IFERROR(INDEX(بيانات!$A$3:$A$202,MATCH(69,$U$3:$U$202,0)),"")</f>
        <v/>
      </c>
      <c r="J74" s="41">
        <f>IFERROR(INDEX(بيانات!$B$3:$B$202,MATCH(69,$U$3:$U$202,0))&amp;" "&amp;INDEX(بيانات!$C$3:$C$202,MATCH(69,$U$3:$U$202,0)),"")</f>
        <v/>
      </c>
      <c r="K74" s="41">
        <f>IFERROR(INDEX(بيانات!$H$3:$H$202,MATCH(69,$U$3:$U$202,0)),"")</f>
        <v/>
      </c>
      <c r="M74" s="41">
        <f>IFERROR(INDEX(بيانات!$A$3:$A$202,MATCH(69,$V$3:$V$202,0)),"")</f>
        <v/>
      </c>
      <c r="N74" s="41">
        <f>IFERROR(INDEX(بيانات!$B$3:$B$202,MATCH(69,$V$3:$V$202,0))&amp;" "&amp;INDEX(بيانات!$C$3:$C$202,MATCH(69,$V$3:$V$202,0)),"")</f>
        <v/>
      </c>
      <c r="O74" s="41">
        <f>IFERROR(INDEX(بيانات!$H$3:$H$202,MATCH(69,$V$3:$V$202,0)),"")</f>
        <v/>
      </c>
      <c r="S74">
        <f>IF(AND(بيانات!$B74&lt;&gt;"",بيانات!$G74="ذكر",بيانات!$H74&lt;13),COUNTA($S$3:S74),"")</f>
        <v/>
      </c>
      <c r="T74">
        <f>IF(AND(بيانات!$B74&lt;&gt;"",بيانات!$G74="أنثى",بيانات!$H74&lt;13),COUNTA($T$3:T74),"")</f>
        <v/>
      </c>
      <c r="U74">
        <f>IF(AND(بيانات!$B74&lt;&gt;"",بيانات!$G74="ذكر",بيانات!$H74&gt;=13),COUNTA($U$3:U74),"")</f>
        <v/>
      </c>
      <c r="V74">
        <f>IF(AND(بيانات!$B74&lt;&gt;"",بيانات!$G74="أنثى",بيانات!$H74&gt;=13),COUNTA($V$3:V74),"")</f>
        <v/>
      </c>
    </row>
    <row r="75">
      <c r="A75" s="41">
        <f>IFERROR(INDEX(بيانات!$A$3:$A$202,MATCH(70,$S$3:$S$202,0)),"")</f>
        <v/>
      </c>
      <c r="B75" s="41">
        <f>IFERROR(INDEX(بيانات!$B$3:$B$202,MATCH(70,$S$3:$S$202,0))&amp;" "&amp;INDEX(بيانات!$C$3:$C$202,MATCH(70,$S$3:$S$202,0)),"")</f>
        <v/>
      </c>
      <c r="C75" s="41">
        <f>IFERROR(INDEX(بيانات!$H$3:$H$202,MATCH(70,$S$3:$S$202,0)),"")</f>
        <v/>
      </c>
      <c r="E75" s="41">
        <f>IFERROR(INDEX(بيانات!$A$3:$A$202,MATCH(70,$T$3:$T$202,0)),"")</f>
        <v/>
      </c>
      <c r="F75" s="41">
        <f>IFERROR(INDEX(بيانات!$B$3:$B$202,MATCH(70,$T$3:$T$202,0))&amp;" "&amp;INDEX(بيانات!$C$3:$C$202,MATCH(70,$T$3:$T$202,0)),"")</f>
        <v/>
      </c>
      <c r="G75" s="41">
        <f>IFERROR(INDEX(بيانات!$H$3:$H$202,MATCH(70,$T$3:$T$202,0)),"")</f>
        <v/>
      </c>
      <c r="I75" s="41">
        <f>IFERROR(INDEX(بيانات!$A$3:$A$202,MATCH(70,$U$3:$U$202,0)),"")</f>
        <v/>
      </c>
      <c r="J75" s="41">
        <f>IFERROR(INDEX(بيانات!$B$3:$B$202,MATCH(70,$U$3:$U$202,0))&amp;" "&amp;INDEX(بيانات!$C$3:$C$202,MATCH(70,$U$3:$U$202,0)),"")</f>
        <v/>
      </c>
      <c r="K75" s="41">
        <f>IFERROR(INDEX(بيانات!$H$3:$H$202,MATCH(70,$U$3:$U$202,0)),"")</f>
        <v/>
      </c>
      <c r="M75" s="41">
        <f>IFERROR(INDEX(بيانات!$A$3:$A$202,MATCH(70,$V$3:$V$202,0)),"")</f>
        <v/>
      </c>
      <c r="N75" s="41">
        <f>IFERROR(INDEX(بيانات!$B$3:$B$202,MATCH(70,$V$3:$V$202,0))&amp;" "&amp;INDEX(بيانات!$C$3:$C$202,MATCH(70,$V$3:$V$202,0)),"")</f>
        <v/>
      </c>
      <c r="O75" s="41">
        <f>IFERROR(INDEX(بيانات!$H$3:$H$202,MATCH(70,$V$3:$V$202,0)),"")</f>
        <v/>
      </c>
      <c r="S75">
        <f>IF(AND(بيانات!$B75&lt;&gt;"",بيانات!$G75="ذكر",بيانات!$H75&lt;13),COUNTA($S$3:S75),"")</f>
        <v/>
      </c>
      <c r="T75">
        <f>IF(AND(بيانات!$B75&lt;&gt;"",بيانات!$G75="أنثى",بيانات!$H75&lt;13),COUNTA($T$3:T75),"")</f>
        <v/>
      </c>
      <c r="U75">
        <f>IF(AND(بيانات!$B75&lt;&gt;"",بيانات!$G75="ذكر",بيانات!$H75&gt;=13),COUNTA($U$3:U75),"")</f>
        <v/>
      </c>
      <c r="V75">
        <f>IF(AND(بيانات!$B75&lt;&gt;"",بيانات!$G75="أنثى",بيانات!$H75&gt;=13),COUNTA($V$3:V75),"")</f>
        <v/>
      </c>
    </row>
    <row r="76">
      <c r="A76" s="41">
        <f>IFERROR(INDEX(بيانات!$A$3:$A$202,MATCH(71,$S$3:$S$202,0)),"")</f>
        <v/>
      </c>
      <c r="B76" s="41">
        <f>IFERROR(INDEX(بيانات!$B$3:$B$202,MATCH(71,$S$3:$S$202,0))&amp;" "&amp;INDEX(بيانات!$C$3:$C$202,MATCH(71,$S$3:$S$202,0)),"")</f>
        <v/>
      </c>
      <c r="C76" s="41">
        <f>IFERROR(INDEX(بيانات!$H$3:$H$202,MATCH(71,$S$3:$S$202,0)),"")</f>
        <v/>
      </c>
      <c r="E76" s="41">
        <f>IFERROR(INDEX(بيانات!$A$3:$A$202,MATCH(71,$T$3:$T$202,0)),"")</f>
        <v/>
      </c>
      <c r="F76" s="41">
        <f>IFERROR(INDEX(بيانات!$B$3:$B$202,MATCH(71,$T$3:$T$202,0))&amp;" "&amp;INDEX(بيانات!$C$3:$C$202,MATCH(71,$T$3:$T$202,0)),"")</f>
        <v/>
      </c>
      <c r="G76" s="41">
        <f>IFERROR(INDEX(بيانات!$H$3:$H$202,MATCH(71,$T$3:$T$202,0)),"")</f>
        <v/>
      </c>
      <c r="I76" s="41">
        <f>IFERROR(INDEX(بيانات!$A$3:$A$202,MATCH(71,$U$3:$U$202,0)),"")</f>
        <v/>
      </c>
      <c r="J76" s="41">
        <f>IFERROR(INDEX(بيانات!$B$3:$B$202,MATCH(71,$U$3:$U$202,0))&amp;" "&amp;INDEX(بيانات!$C$3:$C$202,MATCH(71,$U$3:$U$202,0)),"")</f>
        <v/>
      </c>
      <c r="K76" s="41">
        <f>IFERROR(INDEX(بيانات!$H$3:$H$202,MATCH(71,$U$3:$U$202,0)),"")</f>
        <v/>
      </c>
      <c r="M76" s="41">
        <f>IFERROR(INDEX(بيانات!$A$3:$A$202,MATCH(71,$V$3:$V$202,0)),"")</f>
        <v/>
      </c>
      <c r="N76" s="41">
        <f>IFERROR(INDEX(بيانات!$B$3:$B$202,MATCH(71,$V$3:$V$202,0))&amp;" "&amp;INDEX(بيانات!$C$3:$C$202,MATCH(71,$V$3:$V$202,0)),"")</f>
        <v/>
      </c>
      <c r="O76" s="41">
        <f>IFERROR(INDEX(بيانات!$H$3:$H$202,MATCH(71,$V$3:$V$202,0)),"")</f>
        <v/>
      </c>
      <c r="S76">
        <f>IF(AND(بيانات!$B76&lt;&gt;"",بيانات!$G76="ذكر",بيانات!$H76&lt;13),COUNTA($S$3:S76),"")</f>
        <v/>
      </c>
      <c r="T76">
        <f>IF(AND(بيانات!$B76&lt;&gt;"",بيانات!$G76="أنثى",بيانات!$H76&lt;13),COUNTA($T$3:T76),"")</f>
        <v/>
      </c>
      <c r="U76">
        <f>IF(AND(بيانات!$B76&lt;&gt;"",بيانات!$G76="ذكر",بيانات!$H76&gt;=13),COUNTA($U$3:U76),"")</f>
        <v/>
      </c>
      <c r="V76">
        <f>IF(AND(بيانات!$B76&lt;&gt;"",بيانات!$G76="أنثى",بيانات!$H76&gt;=13),COUNTA($V$3:V76),"")</f>
        <v/>
      </c>
    </row>
    <row r="77">
      <c r="A77" s="41">
        <f>IFERROR(INDEX(بيانات!$A$3:$A$202,MATCH(72,$S$3:$S$202,0)),"")</f>
        <v/>
      </c>
      <c r="B77" s="41">
        <f>IFERROR(INDEX(بيانات!$B$3:$B$202,MATCH(72,$S$3:$S$202,0))&amp;" "&amp;INDEX(بيانات!$C$3:$C$202,MATCH(72,$S$3:$S$202,0)),"")</f>
        <v/>
      </c>
      <c r="C77" s="41">
        <f>IFERROR(INDEX(بيانات!$H$3:$H$202,MATCH(72,$S$3:$S$202,0)),"")</f>
        <v/>
      </c>
      <c r="E77" s="41">
        <f>IFERROR(INDEX(بيانات!$A$3:$A$202,MATCH(72,$T$3:$T$202,0)),"")</f>
        <v/>
      </c>
      <c r="F77" s="41">
        <f>IFERROR(INDEX(بيانات!$B$3:$B$202,MATCH(72,$T$3:$T$202,0))&amp;" "&amp;INDEX(بيانات!$C$3:$C$202,MATCH(72,$T$3:$T$202,0)),"")</f>
        <v/>
      </c>
      <c r="G77" s="41">
        <f>IFERROR(INDEX(بيانات!$H$3:$H$202,MATCH(72,$T$3:$T$202,0)),"")</f>
        <v/>
      </c>
      <c r="I77" s="41">
        <f>IFERROR(INDEX(بيانات!$A$3:$A$202,MATCH(72,$U$3:$U$202,0)),"")</f>
        <v/>
      </c>
      <c r="J77" s="41">
        <f>IFERROR(INDEX(بيانات!$B$3:$B$202,MATCH(72,$U$3:$U$202,0))&amp;" "&amp;INDEX(بيانات!$C$3:$C$202,MATCH(72,$U$3:$U$202,0)),"")</f>
        <v/>
      </c>
      <c r="K77" s="41">
        <f>IFERROR(INDEX(بيانات!$H$3:$H$202,MATCH(72,$U$3:$U$202,0)),"")</f>
        <v/>
      </c>
      <c r="M77" s="41">
        <f>IFERROR(INDEX(بيانات!$A$3:$A$202,MATCH(72,$V$3:$V$202,0)),"")</f>
        <v/>
      </c>
      <c r="N77" s="41">
        <f>IFERROR(INDEX(بيانات!$B$3:$B$202,MATCH(72,$V$3:$V$202,0))&amp;" "&amp;INDEX(بيانات!$C$3:$C$202,MATCH(72,$V$3:$V$202,0)),"")</f>
        <v/>
      </c>
      <c r="O77" s="41">
        <f>IFERROR(INDEX(بيانات!$H$3:$H$202,MATCH(72,$V$3:$V$202,0)),"")</f>
        <v/>
      </c>
      <c r="S77">
        <f>IF(AND(بيانات!$B77&lt;&gt;"",بيانات!$G77="ذكر",بيانات!$H77&lt;13),COUNTA($S$3:S77),"")</f>
        <v/>
      </c>
      <c r="T77">
        <f>IF(AND(بيانات!$B77&lt;&gt;"",بيانات!$G77="أنثى",بيانات!$H77&lt;13),COUNTA($T$3:T77),"")</f>
        <v/>
      </c>
      <c r="U77">
        <f>IF(AND(بيانات!$B77&lt;&gt;"",بيانات!$G77="ذكر",بيانات!$H77&gt;=13),COUNTA($U$3:U77),"")</f>
        <v/>
      </c>
      <c r="V77">
        <f>IF(AND(بيانات!$B77&lt;&gt;"",بيانات!$G77="أنثى",بيانات!$H77&gt;=13),COUNTA($V$3:V77),"")</f>
        <v/>
      </c>
    </row>
    <row r="78">
      <c r="A78" s="41">
        <f>IFERROR(INDEX(بيانات!$A$3:$A$202,MATCH(73,$S$3:$S$202,0)),"")</f>
        <v/>
      </c>
      <c r="B78" s="41">
        <f>IFERROR(INDEX(بيانات!$B$3:$B$202,MATCH(73,$S$3:$S$202,0))&amp;" "&amp;INDEX(بيانات!$C$3:$C$202,MATCH(73,$S$3:$S$202,0)),"")</f>
        <v/>
      </c>
      <c r="C78" s="41">
        <f>IFERROR(INDEX(بيانات!$H$3:$H$202,MATCH(73,$S$3:$S$202,0)),"")</f>
        <v/>
      </c>
      <c r="E78" s="41">
        <f>IFERROR(INDEX(بيانات!$A$3:$A$202,MATCH(73,$T$3:$T$202,0)),"")</f>
        <v/>
      </c>
      <c r="F78" s="41">
        <f>IFERROR(INDEX(بيانات!$B$3:$B$202,MATCH(73,$T$3:$T$202,0))&amp;" "&amp;INDEX(بيانات!$C$3:$C$202,MATCH(73,$T$3:$T$202,0)),"")</f>
        <v/>
      </c>
      <c r="G78" s="41">
        <f>IFERROR(INDEX(بيانات!$H$3:$H$202,MATCH(73,$T$3:$T$202,0)),"")</f>
        <v/>
      </c>
      <c r="I78" s="41">
        <f>IFERROR(INDEX(بيانات!$A$3:$A$202,MATCH(73,$U$3:$U$202,0)),"")</f>
        <v/>
      </c>
      <c r="J78" s="41">
        <f>IFERROR(INDEX(بيانات!$B$3:$B$202,MATCH(73,$U$3:$U$202,0))&amp;" "&amp;INDEX(بيانات!$C$3:$C$202,MATCH(73,$U$3:$U$202,0)),"")</f>
        <v/>
      </c>
      <c r="K78" s="41">
        <f>IFERROR(INDEX(بيانات!$H$3:$H$202,MATCH(73,$U$3:$U$202,0)),"")</f>
        <v/>
      </c>
      <c r="M78" s="41">
        <f>IFERROR(INDEX(بيانات!$A$3:$A$202,MATCH(73,$V$3:$V$202,0)),"")</f>
        <v/>
      </c>
      <c r="N78" s="41">
        <f>IFERROR(INDEX(بيانات!$B$3:$B$202,MATCH(73,$V$3:$V$202,0))&amp;" "&amp;INDEX(بيانات!$C$3:$C$202,MATCH(73,$V$3:$V$202,0)),"")</f>
        <v/>
      </c>
      <c r="O78" s="41">
        <f>IFERROR(INDEX(بيانات!$H$3:$H$202,MATCH(73,$V$3:$V$202,0)),"")</f>
        <v/>
      </c>
      <c r="S78">
        <f>IF(AND(بيانات!$B78&lt;&gt;"",بيانات!$G78="ذكر",بيانات!$H78&lt;13),COUNTA($S$3:S78),"")</f>
        <v/>
      </c>
      <c r="T78">
        <f>IF(AND(بيانات!$B78&lt;&gt;"",بيانات!$G78="أنثى",بيانات!$H78&lt;13),COUNTA($T$3:T78),"")</f>
        <v/>
      </c>
      <c r="U78">
        <f>IF(AND(بيانات!$B78&lt;&gt;"",بيانات!$G78="ذكر",بيانات!$H78&gt;=13),COUNTA($U$3:U78),"")</f>
        <v/>
      </c>
      <c r="V78">
        <f>IF(AND(بيانات!$B78&lt;&gt;"",بيانات!$G78="أنثى",بيانات!$H78&gt;=13),COUNTA($V$3:V78),"")</f>
        <v/>
      </c>
    </row>
    <row r="79">
      <c r="A79" s="41">
        <f>IFERROR(INDEX(بيانات!$A$3:$A$202,MATCH(74,$S$3:$S$202,0)),"")</f>
        <v/>
      </c>
      <c r="B79" s="41">
        <f>IFERROR(INDEX(بيانات!$B$3:$B$202,MATCH(74,$S$3:$S$202,0))&amp;" "&amp;INDEX(بيانات!$C$3:$C$202,MATCH(74,$S$3:$S$202,0)),"")</f>
        <v/>
      </c>
      <c r="C79" s="41">
        <f>IFERROR(INDEX(بيانات!$H$3:$H$202,MATCH(74,$S$3:$S$202,0)),"")</f>
        <v/>
      </c>
      <c r="E79" s="41">
        <f>IFERROR(INDEX(بيانات!$A$3:$A$202,MATCH(74,$T$3:$T$202,0)),"")</f>
        <v/>
      </c>
      <c r="F79" s="41">
        <f>IFERROR(INDEX(بيانات!$B$3:$B$202,MATCH(74,$T$3:$T$202,0))&amp;" "&amp;INDEX(بيانات!$C$3:$C$202,MATCH(74,$T$3:$T$202,0)),"")</f>
        <v/>
      </c>
      <c r="G79" s="41">
        <f>IFERROR(INDEX(بيانات!$H$3:$H$202,MATCH(74,$T$3:$T$202,0)),"")</f>
        <v/>
      </c>
      <c r="I79" s="41">
        <f>IFERROR(INDEX(بيانات!$A$3:$A$202,MATCH(74,$U$3:$U$202,0)),"")</f>
        <v/>
      </c>
      <c r="J79" s="41">
        <f>IFERROR(INDEX(بيانات!$B$3:$B$202,MATCH(74,$U$3:$U$202,0))&amp;" "&amp;INDEX(بيانات!$C$3:$C$202,MATCH(74,$U$3:$U$202,0)),"")</f>
        <v/>
      </c>
      <c r="K79" s="41">
        <f>IFERROR(INDEX(بيانات!$H$3:$H$202,MATCH(74,$U$3:$U$202,0)),"")</f>
        <v/>
      </c>
      <c r="M79" s="41">
        <f>IFERROR(INDEX(بيانات!$A$3:$A$202,MATCH(74,$V$3:$V$202,0)),"")</f>
        <v/>
      </c>
      <c r="N79" s="41">
        <f>IFERROR(INDEX(بيانات!$B$3:$B$202,MATCH(74,$V$3:$V$202,0))&amp;" "&amp;INDEX(بيانات!$C$3:$C$202,MATCH(74,$V$3:$V$202,0)),"")</f>
        <v/>
      </c>
      <c r="O79" s="41">
        <f>IFERROR(INDEX(بيانات!$H$3:$H$202,MATCH(74,$V$3:$V$202,0)),"")</f>
        <v/>
      </c>
      <c r="S79">
        <f>IF(AND(بيانات!$B79&lt;&gt;"",بيانات!$G79="ذكر",بيانات!$H79&lt;13),COUNTA($S$3:S79),"")</f>
        <v/>
      </c>
      <c r="T79">
        <f>IF(AND(بيانات!$B79&lt;&gt;"",بيانات!$G79="أنثى",بيانات!$H79&lt;13),COUNTA($T$3:T79),"")</f>
        <v/>
      </c>
      <c r="U79">
        <f>IF(AND(بيانات!$B79&lt;&gt;"",بيانات!$G79="ذكر",بيانات!$H79&gt;=13),COUNTA($U$3:U79),"")</f>
        <v/>
      </c>
      <c r="V79">
        <f>IF(AND(بيانات!$B79&lt;&gt;"",بيانات!$G79="أنثى",بيانات!$H79&gt;=13),COUNTA($V$3:V79),"")</f>
        <v/>
      </c>
    </row>
    <row r="80">
      <c r="A80" s="41">
        <f>IFERROR(INDEX(بيانات!$A$3:$A$202,MATCH(75,$S$3:$S$202,0)),"")</f>
        <v/>
      </c>
      <c r="B80" s="41">
        <f>IFERROR(INDEX(بيانات!$B$3:$B$202,MATCH(75,$S$3:$S$202,0))&amp;" "&amp;INDEX(بيانات!$C$3:$C$202,MATCH(75,$S$3:$S$202,0)),"")</f>
        <v/>
      </c>
      <c r="C80" s="41">
        <f>IFERROR(INDEX(بيانات!$H$3:$H$202,MATCH(75,$S$3:$S$202,0)),"")</f>
        <v/>
      </c>
      <c r="E80" s="41">
        <f>IFERROR(INDEX(بيانات!$A$3:$A$202,MATCH(75,$T$3:$T$202,0)),"")</f>
        <v/>
      </c>
      <c r="F80" s="41">
        <f>IFERROR(INDEX(بيانات!$B$3:$B$202,MATCH(75,$T$3:$T$202,0))&amp;" "&amp;INDEX(بيانات!$C$3:$C$202,MATCH(75,$T$3:$T$202,0)),"")</f>
        <v/>
      </c>
      <c r="G80" s="41">
        <f>IFERROR(INDEX(بيانات!$H$3:$H$202,MATCH(75,$T$3:$T$202,0)),"")</f>
        <v/>
      </c>
      <c r="I80" s="41">
        <f>IFERROR(INDEX(بيانات!$A$3:$A$202,MATCH(75,$U$3:$U$202,0)),"")</f>
        <v/>
      </c>
      <c r="J80" s="41">
        <f>IFERROR(INDEX(بيانات!$B$3:$B$202,MATCH(75,$U$3:$U$202,0))&amp;" "&amp;INDEX(بيانات!$C$3:$C$202,MATCH(75,$U$3:$U$202,0)),"")</f>
        <v/>
      </c>
      <c r="K80" s="41">
        <f>IFERROR(INDEX(بيانات!$H$3:$H$202,MATCH(75,$U$3:$U$202,0)),"")</f>
        <v/>
      </c>
      <c r="M80" s="41">
        <f>IFERROR(INDEX(بيانات!$A$3:$A$202,MATCH(75,$V$3:$V$202,0)),"")</f>
        <v/>
      </c>
      <c r="N80" s="41">
        <f>IFERROR(INDEX(بيانات!$B$3:$B$202,MATCH(75,$V$3:$V$202,0))&amp;" "&amp;INDEX(بيانات!$C$3:$C$202,MATCH(75,$V$3:$V$202,0)),"")</f>
        <v/>
      </c>
      <c r="O80" s="41">
        <f>IFERROR(INDEX(بيانات!$H$3:$H$202,MATCH(75,$V$3:$V$202,0)),"")</f>
        <v/>
      </c>
      <c r="S80">
        <f>IF(AND(بيانات!$B80&lt;&gt;"",بيانات!$G80="ذكر",بيانات!$H80&lt;13),COUNTA($S$3:S80),"")</f>
        <v/>
      </c>
      <c r="T80">
        <f>IF(AND(بيانات!$B80&lt;&gt;"",بيانات!$G80="أنثى",بيانات!$H80&lt;13),COUNTA($T$3:T80),"")</f>
        <v/>
      </c>
      <c r="U80">
        <f>IF(AND(بيانات!$B80&lt;&gt;"",بيانات!$G80="ذكر",بيانات!$H80&gt;=13),COUNTA($U$3:U80),"")</f>
        <v/>
      </c>
      <c r="V80">
        <f>IF(AND(بيانات!$B80&lt;&gt;"",بيانات!$G80="أنثى",بيانات!$H80&gt;=13),COUNTA($V$3:V80),"")</f>
        <v/>
      </c>
    </row>
    <row r="81">
      <c r="A81" s="41">
        <f>IFERROR(INDEX(بيانات!$A$3:$A$202,MATCH(76,$S$3:$S$202,0)),"")</f>
        <v/>
      </c>
      <c r="B81" s="41">
        <f>IFERROR(INDEX(بيانات!$B$3:$B$202,MATCH(76,$S$3:$S$202,0))&amp;" "&amp;INDEX(بيانات!$C$3:$C$202,MATCH(76,$S$3:$S$202,0)),"")</f>
        <v/>
      </c>
      <c r="C81" s="41">
        <f>IFERROR(INDEX(بيانات!$H$3:$H$202,MATCH(76,$S$3:$S$202,0)),"")</f>
        <v/>
      </c>
      <c r="E81" s="41">
        <f>IFERROR(INDEX(بيانات!$A$3:$A$202,MATCH(76,$T$3:$T$202,0)),"")</f>
        <v/>
      </c>
      <c r="F81" s="41">
        <f>IFERROR(INDEX(بيانات!$B$3:$B$202,MATCH(76,$T$3:$T$202,0))&amp;" "&amp;INDEX(بيانات!$C$3:$C$202,MATCH(76,$T$3:$T$202,0)),"")</f>
        <v/>
      </c>
      <c r="G81" s="41">
        <f>IFERROR(INDEX(بيانات!$H$3:$H$202,MATCH(76,$T$3:$T$202,0)),"")</f>
        <v/>
      </c>
      <c r="I81" s="41">
        <f>IFERROR(INDEX(بيانات!$A$3:$A$202,MATCH(76,$U$3:$U$202,0)),"")</f>
        <v/>
      </c>
      <c r="J81" s="41">
        <f>IFERROR(INDEX(بيانات!$B$3:$B$202,MATCH(76,$U$3:$U$202,0))&amp;" "&amp;INDEX(بيانات!$C$3:$C$202,MATCH(76,$U$3:$U$202,0)),"")</f>
        <v/>
      </c>
      <c r="K81" s="41">
        <f>IFERROR(INDEX(بيانات!$H$3:$H$202,MATCH(76,$U$3:$U$202,0)),"")</f>
        <v/>
      </c>
      <c r="M81" s="41">
        <f>IFERROR(INDEX(بيانات!$A$3:$A$202,MATCH(76,$V$3:$V$202,0)),"")</f>
        <v/>
      </c>
      <c r="N81" s="41">
        <f>IFERROR(INDEX(بيانات!$B$3:$B$202,MATCH(76,$V$3:$V$202,0))&amp;" "&amp;INDEX(بيانات!$C$3:$C$202,MATCH(76,$V$3:$V$202,0)),"")</f>
        <v/>
      </c>
      <c r="O81" s="41">
        <f>IFERROR(INDEX(بيانات!$H$3:$H$202,MATCH(76,$V$3:$V$202,0)),"")</f>
        <v/>
      </c>
      <c r="S81">
        <f>IF(AND(بيانات!$B81&lt;&gt;"",بيانات!$G81="ذكر",بيانات!$H81&lt;13),COUNTA($S$3:S81),"")</f>
        <v/>
      </c>
      <c r="T81">
        <f>IF(AND(بيانات!$B81&lt;&gt;"",بيانات!$G81="أنثى",بيانات!$H81&lt;13),COUNTA($T$3:T81),"")</f>
        <v/>
      </c>
      <c r="U81">
        <f>IF(AND(بيانات!$B81&lt;&gt;"",بيانات!$G81="ذكر",بيانات!$H81&gt;=13),COUNTA($U$3:U81),"")</f>
        <v/>
      </c>
      <c r="V81">
        <f>IF(AND(بيانات!$B81&lt;&gt;"",بيانات!$G81="أنثى",بيانات!$H81&gt;=13),COUNTA($V$3:V81),"")</f>
        <v/>
      </c>
    </row>
    <row r="82">
      <c r="A82" s="41">
        <f>IFERROR(INDEX(بيانات!$A$3:$A$202,MATCH(77,$S$3:$S$202,0)),"")</f>
        <v/>
      </c>
      <c r="B82" s="41">
        <f>IFERROR(INDEX(بيانات!$B$3:$B$202,MATCH(77,$S$3:$S$202,0))&amp;" "&amp;INDEX(بيانات!$C$3:$C$202,MATCH(77,$S$3:$S$202,0)),"")</f>
        <v/>
      </c>
      <c r="C82" s="41">
        <f>IFERROR(INDEX(بيانات!$H$3:$H$202,MATCH(77,$S$3:$S$202,0)),"")</f>
        <v/>
      </c>
      <c r="E82" s="41">
        <f>IFERROR(INDEX(بيانات!$A$3:$A$202,MATCH(77,$T$3:$T$202,0)),"")</f>
        <v/>
      </c>
      <c r="F82" s="41">
        <f>IFERROR(INDEX(بيانات!$B$3:$B$202,MATCH(77,$T$3:$T$202,0))&amp;" "&amp;INDEX(بيانات!$C$3:$C$202,MATCH(77,$T$3:$T$202,0)),"")</f>
        <v/>
      </c>
      <c r="G82" s="41">
        <f>IFERROR(INDEX(بيانات!$H$3:$H$202,MATCH(77,$T$3:$T$202,0)),"")</f>
        <v/>
      </c>
      <c r="I82" s="41">
        <f>IFERROR(INDEX(بيانات!$A$3:$A$202,MATCH(77,$U$3:$U$202,0)),"")</f>
        <v/>
      </c>
      <c r="J82" s="41">
        <f>IFERROR(INDEX(بيانات!$B$3:$B$202,MATCH(77,$U$3:$U$202,0))&amp;" "&amp;INDEX(بيانات!$C$3:$C$202,MATCH(77,$U$3:$U$202,0)),"")</f>
        <v/>
      </c>
      <c r="K82" s="41">
        <f>IFERROR(INDEX(بيانات!$H$3:$H$202,MATCH(77,$U$3:$U$202,0)),"")</f>
        <v/>
      </c>
      <c r="M82" s="41">
        <f>IFERROR(INDEX(بيانات!$A$3:$A$202,MATCH(77,$V$3:$V$202,0)),"")</f>
        <v/>
      </c>
      <c r="N82" s="41">
        <f>IFERROR(INDEX(بيانات!$B$3:$B$202,MATCH(77,$V$3:$V$202,0))&amp;" "&amp;INDEX(بيانات!$C$3:$C$202,MATCH(77,$V$3:$V$202,0)),"")</f>
        <v/>
      </c>
      <c r="O82" s="41">
        <f>IFERROR(INDEX(بيانات!$H$3:$H$202,MATCH(77,$V$3:$V$202,0)),"")</f>
        <v/>
      </c>
      <c r="S82">
        <f>IF(AND(بيانات!$B82&lt;&gt;"",بيانات!$G82="ذكر",بيانات!$H82&lt;13),COUNTA($S$3:S82),"")</f>
        <v/>
      </c>
      <c r="T82">
        <f>IF(AND(بيانات!$B82&lt;&gt;"",بيانات!$G82="أنثى",بيانات!$H82&lt;13),COUNTA($T$3:T82),"")</f>
        <v/>
      </c>
      <c r="U82">
        <f>IF(AND(بيانات!$B82&lt;&gt;"",بيانات!$G82="ذكر",بيانات!$H82&gt;=13),COUNTA($U$3:U82),"")</f>
        <v/>
      </c>
      <c r="V82">
        <f>IF(AND(بيانات!$B82&lt;&gt;"",بيانات!$G82="أنثى",بيانات!$H82&gt;=13),COUNTA($V$3:V82),"")</f>
        <v/>
      </c>
    </row>
    <row r="83">
      <c r="A83" s="41">
        <f>IFERROR(INDEX(بيانات!$A$3:$A$202,MATCH(78,$S$3:$S$202,0)),"")</f>
        <v/>
      </c>
      <c r="B83" s="41">
        <f>IFERROR(INDEX(بيانات!$B$3:$B$202,MATCH(78,$S$3:$S$202,0))&amp;" "&amp;INDEX(بيانات!$C$3:$C$202,MATCH(78,$S$3:$S$202,0)),"")</f>
        <v/>
      </c>
      <c r="C83" s="41">
        <f>IFERROR(INDEX(بيانات!$H$3:$H$202,MATCH(78,$S$3:$S$202,0)),"")</f>
        <v/>
      </c>
      <c r="E83" s="41">
        <f>IFERROR(INDEX(بيانات!$A$3:$A$202,MATCH(78,$T$3:$T$202,0)),"")</f>
        <v/>
      </c>
      <c r="F83" s="41">
        <f>IFERROR(INDEX(بيانات!$B$3:$B$202,MATCH(78,$T$3:$T$202,0))&amp;" "&amp;INDEX(بيانات!$C$3:$C$202,MATCH(78,$T$3:$T$202,0)),"")</f>
        <v/>
      </c>
      <c r="G83" s="41">
        <f>IFERROR(INDEX(بيانات!$H$3:$H$202,MATCH(78,$T$3:$T$202,0)),"")</f>
        <v/>
      </c>
      <c r="I83" s="41">
        <f>IFERROR(INDEX(بيانات!$A$3:$A$202,MATCH(78,$U$3:$U$202,0)),"")</f>
        <v/>
      </c>
      <c r="J83" s="41">
        <f>IFERROR(INDEX(بيانات!$B$3:$B$202,MATCH(78,$U$3:$U$202,0))&amp;" "&amp;INDEX(بيانات!$C$3:$C$202,MATCH(78,$U$3:$U$202,0)),"")</f>
        <v/>
      </c>
      <c r="K83" s="41">
        <f>IFERROR(INDEX(بيانات!$H$3:$H$202,MATCH(78,$U$3:$U$202,0)),"")</f>
        <v/>
      </c>
      <c r="M83" s="41">
        <f>IFERROR(INDEX(بيانات!$A$3:$A$202,MATCH(78,$V$3:$V$202,0)),"")</f>
        <v/>
      </c>
      <c r="N83" s="41">
        <f>IFERROR(INDEX(بيانات!$B$3:$B$202,MATCH(78,$V$3:$V$202,0))&amp;" "&amp;INDEX(بيانات!$C$3:$C$202,MATCH(78,$V$3:$V$202,0)),"")</f>
        <v/>
      </c>
      <c r="O83" s="41">
        <f>IFERROR(INDEX(بيانات!$H$3:$H$202,MATCH(78,$V$3:$V$202,0)),"")</f>
        <v/>
      </c>
      <c r="S83">
        <f>IF(AND(بيانات!$B83&lt;&gt;"",بيانات!$G83="ذكر",بيانات!$H83&lt;13),COUNTA($S$3:S83),"")</f>
        <v/>
      </c>
      <c r="T83">
        <f>IF(AND(بيانات!$B83&lt;&gt;"",بيانات!$G83="أنثى",بيانات!$H83&lt;13),COUNTA($T$3:T83),"")</f>
        <v/>
      </c>
      <c r="U83">
        <f>IF(AND(بيانات!$B83&lt;&gt;"",بيانات!$G83="ذكر",بيانات!$H83&gt;=13),COUNTA($U$3:U83),"")</f>
        <v/>
      </c>
      <c r="V83">
        <f>IF(AND(بيانات!$B83&lt;&gt;"",بيانات!$G83="أنثى",بيانات!$H83&gt;=13),COUNTA($V$3:V83),"")</f>
        <v/>
      </c>
    </row>
    <row r="84">
      <c r="A84" s="41">
        <f>IFERROR(INDEX(بيانات!$A$3:$A$202,MATCH(79,$S$3:$S$202,0)),"")</f>
        <v/>
      </c>
      <c r="B84" s="41">
        <f>IFERROR(INDEX(بيانات!$B$3:$B$202,MATCH(79,$S$3:$S$202,0))&amp;" "&amp;INDEX(بيانات!$C$3:$C$202,MATCH(79,$S$3:$S$202,0)),"")</f>
        <v/>
      </c>
      <c r="C84" s="41">
        <f>IFERROR(INDEX(بيانات!$H$3:$H$202,MATCH(79,$S$3:$S$202,0)),"")</f>
        <v/>
      </c>
      <c r="E84" s="41">
        <f>IFERROR(INDEX(بيانات!$A$3:$A$202,MATCH(79,$T$3:$T$202,0)),"")</f>
        <v/>
      </c>
      <c r="F84" s="41">
        <f>IFERROR(INDEX(بيانات!$B$3:$B$202,MATCH(79,$T$3:$T$202,0))&amp;" "&amp;INDEX(بيانات!$C$3:$C$202,MATCH(79,$T$3:$T$202,0)),"")</f>
        <v/>
      </c>
      <c r="G84" s="41">
        <f>IFERROR(INDEX(بيانات!$H$3:$H$202,MATCH(79,$T$3:$T$202,0)),"")</f>
        <v/>
      </c>
      <c r="I84" s="41">
        <f>IFERROR(INDEX(بيانات!$A$3:$A$202,MATCH(79,$U$3:$U$202,0)),"")</f>
        <v/>
      </c>
      <c r="J84" s="41">
        <f>IFERROR(INDEX(بيانات!$B$3:$B$202,MATCH(79,$U$3:$U$202,0))&amp;" "&amp;INDEX(بيانات!$C$3:$C$202,MATCH(79,$U$3:$U$202,0)),"")</f>
        <v/>
      </c>
      <c r="K84" s="41">
        <f>IFERROR(INDEX(بيانات!$H$3:$H$202,MATCH(79,$U$3:$U$202,0)),"")</f>
        <v/>
      </c>
      <c r="M84" s="41">
        <f>IFERROR(INDEX(بيانات!$A$3:$A$202,MATCH(79,$V$3:$V$202,0)),"")</f>
        <v/>
      </c>
      <c r="N84" s="41">
        <f>IFERROR(INDEX(بيانات!$B$3:$B$202,MATCH(79,$V$3:$V$202,0))&amp;" "&amp;INDEX(بيانات!$C$3:$C$202,MATCH(79,$V$3:$V$202,0)),"")</f>
        <v/>
      </c>
      <c r="O84" s="41">
        <f>IFERROR(INDEX(بيانات!$H$3:$H$202,MATCH(79,$V$3:$V$202,0)),"")</f>
        <v/>
      </c>
      <c r="S84">
        <f>IF(AND(بيانات!$B84&lt;&gt;"",بيانات!$G84="ذكر",بيانات!$H84&lt;13),COUNTA($S$3:S84),"")</f>
        <v/>
      </c>
      <c r="T84">
        <f>IF(AND(بيانات!$B84&lt;&gt;"",بيانات!$G84="أنثى",بيانات!$H84&lt;13),COUNTA($T$3:T84),"")</f>
        <v/>
      </c>
      <c r="U84">
        <f>IF(AND(بيانات!$B84&lt;&gt;"",بيانات!$G84="ذكر",بيانات!$H84&gt;=13),COUNTA($U$3:U84),"")</f>
        <v/>
      </c>
      <c r="V84">
        <f>IF(AND(بيانات!$B84&lt;&gt;"",بيانات!$G84="أنثى",بيانات!$H84&gt;=13),COUNTA($V$3:V84),"")</f>
        <v/>
      </c>
    </row>
    <row r="85">
      <c r="A85" s="41">
        <f>IFERROR(INDEX(بيانات!$A$3:$A$202,MATCH(80,$S$3:$S$202,0)),"")</f>
        <v/>
      </c>
      <c r="B85" s="41">
        <f>IFERROR(INDEX(بيانات!$B$3:$B$202,MATCH(80,$S$3:$S$202,0))&amp;" "&amp;INDEX(بيانات!$C$3:$C$202,MATCH(80,$S$3:$S$202,0)),"")</f>
        <v/>
      </c>
      <c r="C85" s="41">
        <f>IFERROR(INDEX(بيانات!$H$3:$H$202,MATCH(80,$S$3:$S$202,0)),"")</f>
        <v/>
      </c>
      <c r="E85" s="41">
        <f>IFERROR(INDEX(بيانات!$A$3:$A$202,MATCH(80,$T$3:$T$202,0)),"")</f>
        <v/>
      </c>
      <c r="F85" s="41">
        <f>IFERROR(INDEX(بيانات!$B$3:$B$202,MATCH(80,$T$3:$T$202,0))&amp;" "&amp;INDEX(بيانات!$C$3:$C$202,MATCH(80,$T$3:$T$202,0)),"")</f>
        <v/>
      </c>
      <c r="G85" s="41">
        <f>IFERROR(INDEX(بيانات!$H$3:$H$202,MATCH(80,$T$3:$T$202,0)),"")</f>
        <v/>
      </c>
      <c r="I85" s="41">
        <f>IFERROR(INDEX(بيانات!$A$3:$A$202,MATCH(80,$U$3:$U$202,0)),"")</f>
        <v/>
      </c>
      <c r="J85" s="41">
        <f>IFERROR(INDEX(بيانات!$B$3:$B$202,MATCH(80,$U$3:$U$202,0))&amp;" "&amp;INDEX(بيانات!$C$3:$C$202,MATCH(80,$U$3:$U$202,0)),"")</f>
        <v/>
      </c>
      <c r="K85" s="41">
        <f>IFERROR(INDEX(بيانات!$H$3:$H$202,MATCH(80,$U$3:$U$202,0)),"")</f>
        <v/>
      </c>
      <c r="M85" s="41">
        <f>IFERROR(INDEX(بيانات!$A$3:$A$202,MATCH(80,$V$3:$V$202,0)),"")</f>
        <v/>
      </c>
      <c r="N85" s="41">
        <f>IFERROR(INDEX(بيانات!$B$3:$B$202,MATCH(80,$V$3:$V$202,0))&amp;" "&amp;INDEX(بيانات!$C$3:$C$202,MATCH(80,$V$3:$V$202,0)),"")</f>
        <v/>
      </c>
      <c r="O85" s="41">
        <f>IFERROR(INDEX(بيانات!$H$3:$H$202,MATCH(80,$V$3:$V$202,0)),"")</f>
        <v/>
      </c>
      <c r="S85">
        <f>IF(AND(بيانات!$B85&lt;&gt;"",بيانات!$G85="ذكر",بيانات!$H85&lt;13),COUNTA($S$3:S85),"")</f>
        <v/>
      </c>
      <c r="T85">
        <f>IF(AND(بيانات!$B85&lt;&gt;"",بيانات!$G85="أنثى",بيانات!$H85&lt;13),COUNTA($T$3:T85),"")</f>
        <v/>
      </c>
      <c r="U85">
        <f>IF(AND(بيانات!$B85&lt;&gt;"",بيانات!$G85="ذكر",بيانات!$H85&gt;=13),COUNTA($U$3:U85),"")</f>
        <v/>
      </c>
      <c r="V85">
        <f>IF(AND(بيانات!$B85&lt;&gt;"",بيانات!$G85="أنثى",بيانات!$H85&gt;=13),COUNTA($V$3:V85),"")</f>
        <v/>
      </c>
    </row>
    <row r="86">
      <c r="A86" s="41">
        <f>IFERROR(INDEX(بيانات!$A$3:$A$202,MATCH(81,$S$3:$S$202,0)),"")</f>
        <v/>
      </c>
      <c r="B86" s="41">
        <f>IFERROR(INDEX(بيانات!$B$3:$B$202,MATCH(81,$S$3:$S$202,0))&amp;" "&amp;INDEX(بيانات!$C$3:$C$202,MATCH(81,$S$3:$S$202,0)),"")</f>
        <v/>
      </c>
      <c r="C86" s="41">
        <f>IFERROR(INDEX(بيانات!$H$3:$H$202,MATCH(81,$S$3:$S$202,0)),"")</f>
        <v/>
      </c>
      <c r="E86" s="41">
        <f>IFERROR(INDEX(بيانات!$A$3:$A$202,MATCH(81,$T$3:$T$202,0)),"")</f>
        <v/>
      </c>
      <c r="F86" s="41">
        <f>IFERROR(INDEX(بيانات!$B$3:$B$202,MATCH(81,$T$3:$T$202,0))&amp;" "&amp;INDEX(بيانات!$C$3:$C$202,MATCH(81,$T$3:$T$202,0)),"")</f>
        <v/>
      </c>
      <c r="G86" s="41">
        <f>IFERROR(INDEX(بيانات!$H$3:$H$202,MATCH(81,$T$3:$T$202,0)),"")</f>
        <v/>
      </c>
      <c r="I86" s="41">
        <f>IFERROR(INDEX(بيانات!$A$3:$A$202,MATCH(81,$U$3:$U$202,0)),"")</f>
        <v/>
      </c>
      <c r="J86" s="41">
        <f>IFERROR(INDEX(بيانات!$B$3:$B$202,MATCH(81,$U$3:$U$202,0))&amp;" "&amp;INDEX(بيانات!$C$3:$C$202,MATCH(81,$U$3:$U$202,0)),"")</f>
        <v/>
      </c>
      <c r="K86" s="41">
        <f>IFERROR(INDEX(بيانات!$H$3:$H$202,MATCH(81,$U$3:$U$202,0)),"")</f>
        <v/>
      </c>
      <c r="M86" s="41">
        <f>IFERROR(INDEX(بيانات!$A$3:$A$202,MATCH(81,$V$3:$V$202,0)),"")</f>
        <v/>
      </c>
      <c r="N86" s="41">
        <f>IFERROR(INDEX(بيانات!$B$3:$B$202,MATCH(81,$V$3:$V$202,0))&amp;" "&amp;INDEX(بيانات!$C$3:$C$202,MATCH(81,$V$3:$V$202,0)),"")</f>
        <v/>
      </c>
      <c r="O86" s="41">
        <f>IFERROR(INDEX(بيانات!$H$3:$H$202,MATCH(81,$V$3:$V$202,0)),"")</f>
        <v/>
      </c>
      <c r="S86">
        <f>IF(AND(بيانات!$B86&lt;&gt;"",بيانات!$G86="ذكر",بيانات!$H86&lt;13),COUNTA($S$3:S86),"")</f>
        <v/>
      </c>
      <c r="T86">
        <f>IF(AND(بيانات!$B86&lt;&gt;"",بيانات!$G86="أنثى",بيانات!$H86&lt;13),COUNTA($T$3:T86),"")</f>
        <v/>
      </c>
      <c r="U86">
        <f>IF(AND(بيانات!$B86&lt;&gt;"",بيانات!$G86="ذكر",بيانات!$H86&gt;=13),COUNTA($U$3:U86),"")</f>
        <v/>
      </c>
      <c r="V86">
        <f>IF(AND(بيانات!$B86&lt;&gt;"",بيانات!$G86="أنثى",بيانات!$H86&gt;=13),COUNTA($V$3:V86),"")</f>
        <v/>
      </c>
    </row>
    <row r="87">
      <c r="A87" s="41">
        <f>IFERROR(INDEX(بيانات!$A$3:$A$202,MATCH(82,$S$3:$S$202,0)),"")</f>
        <v/>
      </c>
      <c r="B87" s="41">
        <f>IFERROR(INDEX(بيانات!$B$3:$B$202,MATCH(82,$S$3:$S$202,0))&amp;" "&amp;INDEX(بيانات!$C$3:$C$202,MATCH(82,$S$3:$S$202,0)),"")</f>
        <v/>
      </c>
      <c r="C87" s="41">
        <f>IFERROR(INDEX(بيانات!$H$3:$H$202,MATCH(82,$S$3:$S$202,0)),"")</f>
        <v/>
      </c>
      <c r="E87" s="41">
        <f>IFERROR(INDEX(بيانات!$A$3:$A$202,MATCH(82,$T$3:$T$202,0)),"")</f>
        <v/>
      </c>
      <c r="F87" s="41">
        <f>IFERROR(INDEX(بيانات!$B$3:$B$202,MATCH(82,$T$3:$T$202,0))&amp;" "&amp;INDEX(بيانات!$C$3:$C$202,MATCH(82,$T$3:$T$202,0)),"")</f>
        <v/>
      </c>
      <c r="G87" s="41">
        <f>IFERROR(INDEX(بيانات!$H$3:$H$202,MATCH(82,$T$3:$T$202,0)),"")</f>
        <v/>
      </c>
      <c r="I87" s="41">
        <f>IFERROR(INDEX(بيانات!$A$3:$A$202,MATCH(82,$U$3:$U$202,0)),"")</f>
        <v/>
      </c>
      <c r="J87" s="41">
        <f>IFERROR(INDEX(بيانات!$B$3:$B$202,MATCH(82,$U$3:$U$202,0))&amp;" "&amp;INDEX(بيانات!$C$3:$C$202,MATCH(82,$U$3:$U$202,0)),"")</f>
        <v/>
      </c>
      <c r="K87" s="41">
        <f>IFERROR(INDEX(بيانات!$H$3:$H$202,MATCH(82,$U$3:$U$202,0)),"")</f>
        <v/>
      </c>
      <c r="M87" s="41">
        <f>IFERROR(INDEX(بيانات!$A$3:$A$202,MATCH(82,$V$3:$V$202,0)),"")</f>
        <v/>
      </c>
      <c r="N87" s="41">
        <f>IFERROR(INDEX(بيانات!$B$3:$B$202,MATCH(82,$V$3:$V$202,0))&amp;" "&amp;INDEX(بيانات!$C$3:$C$202,MATCH(82,$V$3:$V$202,0)),"")</f>
        <v/>
      </c>
      <c r="O87" s="41">
        <f>IFERROR(INDEX(بيانات!$H$3:$H$202,MATCH(82,$V$3:$V$202,0)),"")</f>
        <v/>
      </c>
      <c r="S87">
        <f>IF(AND(بيانات!$B87&lt;&gt;"",بيانات!$G87="ذكر",بيانات!$H87&lt;13),COUNTA($S$3:S87),"")</f>
        <v/>
      </c>
      <c r="T87">
        <f>IF(AND(بيانات!$B87&lt;&gt;"",بيانات!$G87="أنثى",بيانات!$H87&lt;13),COUNTA($T$3:T87),"")</f>
        <v/>
      </c>
      <c r="U87">
        <f>IF(AND(بيانات!$B87&lt;&gt;"",بيانات!$G87="ذكر",بيانات!$H87&gt;=13),COUNTA($U$3:U87),"")</f>
        <v/>
      </c>
      <c r="V87">
        <f>IF(AND(بيانات!$B87&lt;&gt;"",بيانات!$G87="أنثى",بيانات!$H87&gt;=13),COUNTA($V$3:V87),"")</f>
        <v/>
      </c>
    </row>
    <row r="88">
      <c r="A88" s="41">
        <f>IFERROR(INDEX(بيانات!$A$3:$A$202,MATCH(83,$S$3:$S$202,0)),"")</f>
        <v/>
      </c>
      <c r="B88" s="41">
        <f>IFERROR(INDEX(بيانات!$B$3:$B$202,MATCH(83,$S$3:$S$202,0))&amp;" "&amp;INDEX(بيانات!$C$3:$C$202,MATCH(83,$S$3:$S$202,0)),"")</f>
        <v/>
      </c>
      <c r="C88" s="41">
        <f>IFERROR(INDEX(بيانات!$H$3:$H$202,MATCH(83,$S$3:$S$202,0)),"")</f>
        <v/>
      </c>
      <c r="E88" s="41">
        <f>IFERROR(INDEX(بيانات!$A$3:$A$202,MATCH(83,$T$3:$T$202,0)),"")</f>
        <v/>
      </c>
      <c r="F88" s="41">
        <f>IFERROR(INDEX(بيانات!$B$3:$B$202,MATCH(83,$T$3:$T$202,0))&amp;" "&amp;INDEX(بيانات!$C$3:$C$202,MATCH(83,$T$3:$T$202,0)),"")</f>
        <v/>
      </c>
      <c r="G88" s="41">
        <f>IFERROR(INDEX(بيانات!$H$3:$H$202,MATCH(83,$T$3:$T$202,0)),"")</f>
        <v/>
      </c>
      <c r="I88" s="41">
        <f>IFERROR(INDEX(بيانات!$A$3:$A$202,MATCH(83,$U$3:$U$202,0)),"")</f>
        <v/>
      </c>
      <c r="J88" s="41">
        <f>IFERROR(INDEX(بيانات!$B$3:$B$202,MATCH(83,$U$3:$U$202,0))&amp;" "&amp;INDEX(بيانات!$C$3:$C$202,MATCH(83,$U$3:$U$202,0)),"")</f>
        <v/>
      </c>
      <c r="K88" s="41">
        <f>IFERROR(INDEX(بيانات!$H$3:$H$202,MATCH(83,$U$3:$U$202,0)),"")</f>
        <v/>
      </c>
      <c r="M88" s="41">
        <f>IFERROR(INDEX(بيانات!$A$3:$A$202,MATCH(83,$V$3:$V$202,0)),"")</f>
        <v/>
      </c>
      <c r="N88" s="41">
        <f>IFERROR(INDEX(بيانات!$B$3:$B$202,MATCH(83,$V$3:$V$202,0))&amp;" "&amp;INDEX(بيانات!$C$3:$C$202,MATCH(83,$V$3:$V$202,0)),"")</f>
        <v/>
      </c>
      <c r="O88" s="41">
        <f>IFERROR(INDEX(بيانات!$H$3:$H$202,MATCH(83,$V$3:$V$202,0)),"")</f>
        <v/>
      </c>
      <c r="S88">
        <f>IF(AND(بيانات!$B88&lt;&gt;"",بيانات!$G88="ذكر",بيانات!$H88&lt;13),COUNTA($S$3:S88),"")</f>
        <v/>
      </c>
      <c r="T88">
        <f>IF(AND(بيانات!$B88&lt;&gt;"",بيانات!$G88="أنثى",بيانات!$H88&lt;13),COUNTA($T$3:T88),"")</f>
        <v/>
      </c>
      <c r="U88">
        <f>IF(AND(بيانات!$B88&lt;&gt;"",بيانات!$G88="ذكر",بيانات!$H88&gt;=13),COUNTA($U$3:U88),"")</f>
        <v/>
      </c>
      <c r="V88">
        <f>IF(AND(بيانات!$B88&lt;&gt;"",بيانات!$G88="أنثى",بيانات!$H88&gt;=13),COUNTA($V$3:V88),"")</f>
        <v/>
      </c>
    </row>
    <row r="89">
      <c r="A89" s="41">
        <f>IFERROR(INDEX(بيانات!$A$3:$A$202,MATCH(84,$S$3:$S$202,0)),"")</f>
        <v/>
      </c>
      <c r="B89" s="41">
        <f>IFERROR(INDEX(بيانات!$B$3:$B$202,MATCH(84,$S$3:$S$202,0))&amp;" "&amp;INDEX(بيانات!$C$3:$C$202,MATCH(84,$S$3:$S$202,0)),"")</f>
        <v/>
      </c>
      <c r="C89" s="41">
        <f>IFERROR(INDEX(بيانات!$H$3:$H$202,MATCH(84,$S$3:$S$202,0)),"")</f>
        <v/>
      </c>
      <c r="E89" s="41">
        <f>IFERROR(INDEX(بيانات!$A$3:$A$202,MATCH(84,$T$3:$T$202,0)),"")</f>
        <v/>
      </c>
      <c r="F89" s="41">
        <f>IFERROR(INDEX(بيانات!$B$3:$B$202,MATCH(84,$T$3:$T$202,0))&amp;" "&amp;INDEX(بيانات!$C$3:$C$202,MATCH(84,$T$3:$T$202,0)),"")</f>
        <v/>
      </c>
      <c r="G89" s="41">
        <f>IFERROR(INDEX(بيانات!$H$3:$H$202,MATCH(84,$T$3:$T$202,0)),"")</f>
        <v/>
      </c>
      <c r="I89" s="41">
        <f>IFERROR(INDEX(بيانات!$A$3:$A$202,MATCH(84,$U$3:$U$202,0)),"")</f>
        <v/>
      </c>
      <c r="J89" s="41">
        <f>IFERROR(INDEX(بيانات!$B$3:$B$202,MATCH(84,$U$3:$U$202,0))&amp;" "&amp;INDEX(بيانات!$C$3:$C$202,MATCH(84,$U$3:$U$202,0)),"")</f>
        <v/>
      </c>
      <c r="K89" s="41">
        <f>IFERROR(INDEX(بيانات!$H$3:$H$202,MATCH(84,$U$3:$U$202,0)),"")</f>
        <v/>
      </c>
      <c r="M89" s="41">
        <f>IFERROR(INDEX(بيانات!$A$3:$A$202,MATCH(84,$V$3:$V$202,0)),"")</f>
        <v/>
      </c>
      <c r="N89" s="41">
        <f>IFERROR(INDEX(بيانات!$B$3:$B$202,MATCH(84,$V$3:$V$202,0))&amp;" "&amp;INDEX(بيانات!$C$3:$C$202,MATCH(84,$V$3:$V$202,0)),"")</f>
        <v/>
      </c>
      <c r="O89" s="41">
        <f>IFERROR(INDEX(بيانات!$H$3:$H$202,MATCH(84,$V$3:$V$202,0)),"")</f>
        <v/>
      </c>
      <c r="S89">
        <f>IF(AND(بيانات!$B89&lt;&gt;"",بيانات!$G89="ذكر",بيانات!$H89&lt;13),COUNTA($S$3:S89),"")</f>
        <v/>
      </c>
      <c r="T89">
        <f>IF(AND(بيانات!$B89&lt;&gt;"",بيانات!$G89="أنثى",بيانات!$H89&lt;13),COUNTA($T$3:T89),"")</f>
        <v/>
      </c>
      <c r="U89">
        <f>IF(AND(بيانات!$B89&lt;&gt;"",بيانات!$G89="ذكر",بيانات!$H89&gt;=13),COUNTA($U$3:U89),"")</f>
        <v/>
      </c>
      <c r="V89">
        <f>IF(AND(بيانات!$B89&lt;&gt;"",بيانات!$G89="أنثى",بيانات!$H89&gt;=13),COUNTA($V$3:V89),"")</f>
        <v/>
      </c>
    </row>
    <row r="90">
      <c r="A90" s="41">
        <f>IFERROR(INDEX(بيانات!$A$3:$A$202,MATCH(85,$S$3:$S$202,0)),"")</f>
        <v/>
      </c>
      <c r="B90" s="41">
        <f>IFERROR(INDEX(بيانات!$B$3:$B$202,MATCH(85,$S$3:$S$202,0))&amp;" "&amp;INDEX(بيانات!$C$3:$C$202,MATCH(85,$S$3:$S$202,0)),"")</f>
        <v/>
      </c>
      <c r="C90" s="41">
        <f>IFERROR(INDEX(بيانات!$H$3:$H$202,MATCH(85,$S$3:$S$202,0)),"")</f>
        <v/>
      </c>
      <c r="E90" s="41">
        <f>IFERROR(INDEX(بيانات!$A$3:$A$202,MATCH(85,$T$3:$T$202,0)),"")</f>
        <v/>
      </c>
      <c r="F90" s="41">
        <f>IFERROR(INDEX(بيانات!$B$3:$B$202,MATCH(85,$T$3:$T$202,0))&amp;" "&amp;INDEX(بيانات!$C$3:$C$202,MATCH(85,$T$3:$T$202,0)),"")</f>
        <v/>
      </c>
      <c r="G90" s="41">
        <f>IFERROR(INDEX(بيانات!$H$3:$H$202,MATCH(85,$T$3:$T$202,0)),"")</f>
        <v/>
      </c>
      <c r="I90" s="41">
        <f>IFERROR(INDEX(بيانات!$A$3:$A$202,MATCH(85,$U$3:$U$202,0)),"")</f>
        <v/>
      </c>
      <c r="J90" s="41">
        <f>IFERROR(INDEX(بيانات!$B$3:$B$202,MATCH(85,$U$3:$U$202,0))&amp;" "&amp;INDEX(بيانات!$C$3:$C$202,MATCH(85,$U$3:$U$202,0)),"")</f>
        <v/>
      </c>
      <c r="K90" s="41">
        <f>IFERROR(INDEX(بيانات!$H$3:$H$202,MATCH(85,$U$3:$U$202,0)),"")</f>
        <v/>
      </c>
      <c r="M90" s="41">
        <f>IFERROR(INDEX(بيانات!$A$3:$A$202,MATCH(85,$V$3:$V$202,0)),"")</f>
        <v/>
      </c>
      <c r="N90" s="41">
        <f>IFERROR(INDEX(بيانات!$B$3:$B$202,MATCH(85,$V$3:$V$202,0))&amp;" "&amp;INDEX(بيانات!$C$3:$C$202,MATCH(85,$V$3:$V$202,0)),"")</f>
        <v/>
      </c>
      <c r="O90" s="41">
        <f>IFERROR(INDEX(بيانات!$H$3:$H$202,MATCH(85,$V$3:$V$202,0)),"")</f>
        <v/>
      </c>
      <c r="S90">
        <f>IF(AND(بيانات!$B90&lt;&gt;"",بيانات!$G90="ذكر",بيانات!$H90&lt;13),COUNTA($S$3:S90),"")</f>
        <v/>
      </c>
      <c r="T90">
        <f>IF(AND(بيانات!$B90&lt;&gt;"",بيانات!$G90="أنثى",بيانات!$H90&lt;13),COUNTA($T$3:T90),"")</f>
        <v/>
      </c>
      <c r="U90">
        <f>IF(AND(بيانات!$B90&lt;&gt;"",بيانات!$G90="ذكر",بيانات!$H90&gt;=13),COUNTA($U$3:U90),"")</f>
        <v/>
      </c>
      <c r="V90">
        <f>IF(AND(بيانات!$B90&lt;&gt;"",بيانات!$G90="أنثى",بيانات!$H90&gt;=13),COUNTA($V$3:V90),"")</f>
        <v/>
      </c>
    </row>
    <row r="91">
      <c r="A91" s="41">
        <f>IFERROR(INDEX(بيانات!$A$3:$A$202,MATCH(86,$S$3:$S$202,0)),"")</f>
        <v/>
      </c>
      <c r="B91" s="41">
        <f>IFERROR(INDEX(بيانات!$B$3:$B$202,MATCH(86,$S$3:$S$202,0))&amp;" "&amp;INDEX(بيانات!$C$3:$C$202,MATCH(86,$S$3:$S$202,0)),"")</f>
        <v/>
      </c>
      <c r="C91" s="41">
        <f>IFERROR(INDEX(بيانات!$H$3:$H$202,MATCH(86,$S$3:$S$202,0)),"")</f>
        <v/>
      </c>
      <c r="E91" s="41">
        <f>IFERROR(INDEX(بيانات!$A$3:$A$202,MATCH(86,$T$3:$T$202,0)),"")</f>
        <v/>
      </c>
      <c r="F91" s="41">
        <f>IFERROR(INDEX(بيانات!$B$3:$B$202,MATCH(86,$T$3:$T$202,0))&amp;" "&amp;INDEX(بيانات!$C$3:$C$202,MATCH(86,$T$3:$T$202,0)),"")</f>
        <v/>
      </c>
      <c r="G91" s="41">
        <f>IFERROR(INDEX(بيانات!$H$3:$H$202,MATCH(86,$T$3:$T$202,0)),"")</f>
        <v/>
      </c>
      <c r="I91" s="41">
        <f>IFERROR(INDEX(بيانات!$A$3:$A$202,MATCH(86,$U$3:$U$202,0)),"")</f>
        <v/>
      </c>
      <c r="J91" s="41">
        <f>IFERROR(INDEX(بيانات!$B$3:$B$202,MATCH(86,$U$3:$U$202,0))&amp;" "&amp;INDEX(بيانات!$C$3:$C$202,MATCH(86,$U$3:$U$202,0)),"")</f>
        <v/>
      </c>
      <c r="K91" s="41">
        <f>IFERROR(INDEX(بيانات!$H$3:$H$202,MATCH(86,$U$3:$U$202,0)),"")</f>
        <v/>
      </c>
      <c r="M91" s="41">
        <f>IFERROR(INDEX(بيانات!$A$3:$A$202,MATCH(86,$V$3:$V$202,0)),"")</f>
        <v/>
      </c>
      <c r="N91" s="41">
        <f>IFERROR(INDEX(بيانات!$B$3:$B$202,MATCH(86,$V$3:$V$202,0))&amp;" "&amp;INDEX(بيانات!$C$3:$C$202,MATCH(86,$V$3:$V$202,0)),"")</f>
        <v/>
      </c>
      <c r="O91" s="41">
        <f>IFERROR(INDEX(بيانات!$H$3:$H$202,MATCH(86,$V$3:$V$202,0)),"")</f>
        <v/>
      </c>
      <c r="S91">
        <f>IF(AND(بيانات!$B91&lt;&gt;"",بيانات!$G91="ذكر",بيانات!$H91&lt;13),COUNTA($S$3:S91),"")</f>
        <v/>
      </c>
      <c r="T91">
        <f>IF(AND(بيانات!$B91&lt;&gt;"",بيانات!$G91="أنثى",بيانات!$H91&lt;13),COUNTA($T$3:T91),"")</f>
        <v/>
      </c>
      <c r="U91">
        <f>IF(AND(بيانات!$B91&lt;&gt;"",بيانات!$G91="ذكر",بيانات!$H91&gt;=13),COUNTA($U$3:U91),"")</f>
        <v/>
      </c>
      <c r="V91">
        <f>IF(AND(بيانات!$B91&lt;&gt;"",بيانات!$G91="أنثى",بيانات!$H91&gt;=13),COUNTA($V$3:V91),"")</f>
        <v/>
      </c>
    </row>
    <row r="92">
      <c r="A92" s="41">
        <f>IFERROR(INDEX(بيانات!$A$3:$A$202,MATCH(87,$S$3:$S$202,0)),"")</f>
        <v/>
      </c>
      <c r="B92" s="41">
        <f>IFERROR(INDEX(بيانات!$B$3:$B$202,MATCH(87,$S$3:$S$202,0))&amp;" "&amp;INDEX(بيانات!$C$3:$C$202,MATCH(87,$S$3:$S$202,0)),"")</f>
        <v/>
      </c>
      <c r="C92" s="41">
        <f>IFERROR(INDEX(بيانات!$H$3:$H$202,MATCH(87,$S$3:$S$202,0)),"")</f>
        <v/>
      </c>
      <c r="E92" s="41">
        <f>IFERROR(INDEX(بيانات!$A$3:$A$202,MATCH(87,$T$3:$T$202,0)),"")</f>
        <v/>
      </c>
      <c r="F92" s="41">
        <f>IFERROR(INDEX(بيانات!$B$3:$B$202,MATCH(87,$T$3:$T$202,0))&amp;" "&amp;INDEX(بيانات!$C$3:$C$202,MATCH(87,$T$3:$T$202,0)),"")</f>
        <v/>
      </c>
      <c r="G92" s="41">
        <f>IFERROR(INDEX(بيانات!$H$3:$H$202,MATCH(87,$T$3:$T$202,0)),"")</f>
        <v/>
      </c>
      <c r="I92" s="41">
        <f>IFERROR(INDEX(بيانات!$A$3:$A$202,MATCH(87,$U$3:$U$202,0)),"")</f>
        <v/>
      </c>
      <c r="J92" s="41">
        <f>IFERROR(INDEX(بيانات!$B$3:$B$202,MATCH(87,$U$3:$U$202,0))&amp;" "&amp;INDEX(بيانات!$C$3:$C$202,MATCH(87,$U$3:$U$202,0)),"")</f>
        <v/>
      </c>
      <c r="K92" s="41">
        <f>IFERROR(INDEX(بيانات!$H$3:$H$202,MATCH(87,$U$3:$U$202,0)),"")</f>
        <v/>
      </c>
      <c r="M92" s="41">
        <f>IFERROR(INDEX(بيانات!$A$3:$A$202,MATCH(87,$V$3:$V$202,0)),"")</f>
        <v/>
      </c>
      <c r="N92" s="41">
        <f>IFERROR(INDEX(بيانات!$B$3:$B$202,MATCH(87,$V$3:$V$202,0))&amp;" "&amp;INDEX(بيانات!$C$3:$C$202,MATCH(87,$V$3:$V$202,0)),"")</f>
        <v/>
      </c>
      <c r="O92" s="41">
        <f>IFERROR(INDEX(بيانات!$H$3:$H$202,MATCH(87,$V$3:$V$202,0)),"")</f>
        <v/>
      </c>
      <c r="S92">
        <f>IF(AND(بيانات!$B92&lt;&gt;"",بيانات!$G92="ذكر",بيانات!$H92&lt;13),COUNTA($S$3:S92),"")</f>
        <v/>
      </c>
      <c r="T92">
        <f>IF(AND(بيانات!$B92&lt;&gt;"",بيانات!$G92="أنثى",بيانات!$H92&lt;13),COUNTA($T$3:T92),"")</f>
        <v/>
      </c>
      <c r="U92">
        <f>IF(AND(بيانات!$B92&lt;&gt;"",بيانات!$G92="ذكر",بيانات!$H92&gt;=13),COUNTA($U$3:U92),"")</f>
        <v/>
      </c>
      <c r="V92">
        <f>IF(AND(بيانات!$B92&lt;&gt;"",بيانات!$G92="أنثى",بيانات!$H92&gt;=13),COUNTA($V$3:V92),"")</f>
        <v/>
      </c>
    </row>
    <row r="93">
      <c r="A93" s="41">
        <f>IFERROR(INDEX(بيانات!$A$3:$A$202,MATCH(88,$S$3:$S$202,0)),"")</f>
        <v/>
      </c>
      <c r="B93" s="41">
        <f>IFERROR(INDEX(بيانات!$B$3:$B$202,MATCH(88,$S$3:$S$202,0))&amp;" "&amp;INDEX(بيانات!$C$3:$C$202,MATCH(88,$S$3:$S$202,0)),"")</f>
        <v/>
      </c>
      <c r="C93" s="41">
        <f>IFERROR(INDEX(بيانات!$H$3:$H$202,MATCH(88,$S$3:$S$202,0)),"")</f>
        <v/>
      </c>
      <c r="E93" s="41">
        <f>IFERROR(INDEX(بيانات!$A$3:$A$202,MATCH(88,$T$3:$T$202,0)),"")</f>
        <v/>
      </c>
      <c r="F93" s="41">
        <f>IFERROR(INDEX(بيانات!$B$3:$B$202,MATCH(88,$T$3:$T$202,0))&amp;" "&amp;INDEX(بيانات!$C$3:$C$202,MATCH(88,$T$3:$T$202,0)),"")</f>
        <v/>
      </c>
      <c r="G93" s="41">
        <f>IFERROR(INDEX(بيانات!$H$3:$H$202,MATCH(88,$T$3:$T$202,0)),"")</f>
        <v/>
      </c>
      <c r="I93" s="41">
        <f>IFERROR(INDEX(بيانات!$A$3:$A$202,MATCH(88,$U$3:$U$202,0)),"")</f>
        <v/>
      </c>
      <c r="J93" s="41">
        <f>IFERROR(INDEX(بيانات!$B$3:$B$202,MATCH(88,$U$3:$U$202,0))&amp;" "&amp;INDEX(بيانات!$C$3:$C$202,MATCH(88,$U$3:$U$202,0)),"")</f>
        <v/>
      </c>
      <c r="K93" s="41">
        <f>IFERROR(INDEX(بيانات!$H$3:$H$202,MATCH(88,$U$3:$U$202,0)),"")</f>
        <v/>
      </c>
      <c r="M93" s="41">
        <f>IFERROR(INDEX(بيانات!$A$3:$A$202,MATCH(88,$V$3:$V$202,0)),"")</f>
        <v/>
      </c>
      <c r="N93" s="41">
        <f>IFERROR(INDEX(بيانات!$B$3:$B$202,MATCH(88,$V$3:$V$202,0))&amp;" "&amp;INDEX(بيانات!$C$3:$C$202,MATCH(88,$V$3:$V$202,0)),"")</f>
        <v/>
      </c>
      <c r="O93" s="41">
        <f>IFERROR(INDEX(بيانات!$H$3:$H$202,MATCH(88,$V$3:$V$202,0)),"")</f>
        <v/>
      </c>
      <c r="S93">
        <f>IF(AND(بيانات!$B93&lt;&gt;"",بيانات!$G93="ذكر",بيانات!$H93&lt;13),COUNTA($S$3:S93),"")</f>
        <v/>
      </c>
      <c r="T93">
        <f>IF(AND(بيانات!$B93&lt;&gt;"",بيانات!$G93="أنثى",بيانات!$H93&lt;13),COUNTA($T$3:T93),"")</f>
        <v/>
      </c>
      <c r="U93">
        <f>IF(AND(بيانات!$B93&lt;&gt;"",بيانات!$G93="ذكر",بيانات!$H93&gt;=13),COUNTA($U$3:U93),"")</f>
        <v/>
      </c>
      <c r="V93">
        <f>IF(AND(بيانات!$B93&lt;&gt;"",بيانات!$G93="أنثى",بيانات!$H93&gt;=13),COUNTA($V$3:V93),"")</f>
        <v/>
      </c>
    </row>
    <row r="94">
      <c r="A94" s="41">
        <f>IFERROR(INDEX(بيانات!$A$3:$A$202,MATCH(89,$S$3:$S$202,0)),"")</f>
        <v/>
      </c>
      <c r="B94" s="41">
        <f>IFERROR(INDEX(بيانات!$B$3:$B$202,MATCH(89,$S$3:$S$202,0))&amp;" "&amp;INDEX(بيانات!$C$3:$C$202,MATCH(89,$S$3:$S$202,0)),"")</f>
        <v/>
      </c>
      <c r="C94" s="41">
        <f>IFERROR(INDEX(بيانات!$H$3:$H$202,MATCH(89,$S$3:$S$202,0)),"")</f>
        <v/>
      </c>
      <c r="E94" s="41">
        <f>IFERROR(INDEX(بيانات!$A$3:$A$202,MATCH(89,$T$3:$T$202,0)),"")</f>
        <v/>
      </c>
      <c r="F94" s="41">
        <f>IFERROR(INDEX(بيانات!$B$3:$B$202,MATCH(89,$T$3:$T$202,0))&amp;" "&amp;INDEX(بيانات!$C$3:$C$202,MATCH(89,$T$3:$T$202,0)),"")</f>
        <v/>
      </c>
      <c r="G94" s="41">
        <f>IFERROR(INDEX(بيانات!$H$3:$H$202,MATCH(89,$T$3:$T$202,0)),"")</f>
        <v/>
      </c>
      <c r="I94" s="41">
        <f>IFERROR(INDEX(بيانات!$A$3:$A$202,MATCH(89,$U$3:$U$202,0)),"")</f>
        <v/>
      </c>
      <c r="J94" s="41">
        <f>IFERROR(INDEX(بيانات!$B$3:$B$202,MATCH(89,$U$3:$U$202,0))&amp;" "&amp;INDEX(بيانات!$C$3:$C$202,MATCH(89,$U$3:$U$202,0)),"")</f>
        <v/>
      </c>
      <c r="K94" s="41">
        <f>IFERROR(INDEX(بيانات!$H$3:$H$202,MATCH(89,$U$3:$U$202,0)),"")</f>
        <v/>
      </c>
      <c r="M94" s="41">
        <f>IFERROR(INDEX(بيانات!$A$3:$A$202,MATCH(89,$V$3:$V$202,0)),"")</f>
        <v/>
      </c>
      <c r="N94" s="41">
        <f>IFERROR(INDEX(بيانات!$B$3:$B$202,MATCH(89,$V$3:$V$202,0))&amp;" "&amp;INDEX(بيانات!$C$3:$C$202,MATCH(89,$V$3:$V$202,0)),"")</f>
        <v/>
      </c>
      <c r="O94" s="41">
        <f>IFERROR(INDEX(بيانات!$H$3:$H$202,MATCH(89,$V$3:$V$202,0)),"")</f>
        <v/>
      </c>
      <c r="S94">
        <f>IF(AND(بيانات!$B94&lt;&gt;"",بيانات!$G94="ذكر",بيانات!$H94&lt;13),COUNTA($S$3:S94),"")</f>
        <v/>
      </c>
      <c r="T94">
        <f>IF(AND(بيانات!$B94&lt;&gt;"",بيانات!$G94="أنثى",بيانات!$H94&lt;13),COUNTA($T$3:T94),"")</f>
        <v/>
      </c>
      <c r="U94">
        <f>IF(AND(بيانات!$B94&lt;&gt;"",بيانات!$G94="ذكر",بيانات!$H94&gt;=13),COUNTA($U$3:U94),"")</f>
        <v/>
      </c>
      <c r="V94">
        <f>IF(AND(بيانات!$B94&lt;&gt;"",بيانات!$G94="أنثى",بيانات!$H94&gt;=13),COUNTA($V$3:V94),"")</f>
        <v/>
      </c>
    </row>
    <row r="95">
      <c r="A95" s="41">
        <f>IFERROR(INDEX(بيانات!$A$3:$A$202,MATCH(90,$S$3:$S$202,0)),"")</f>
        <v/>
      </c>
      <c r="B95" s="41">
        <f>IFERROR(INDEX(بيانات!$B$3:$B$202,MATCH(90,$S$3:$S$202,0))&amp;" "&amp;INDEX(بيانات!$C$3:$C$202,MATCH(90,$S$3:$S$202,0)),"")</f>
        <v/>
      </c>
      <c r="C95" s="41">
        <f>IFERROR(INDEX(بيانات!$H$3:$H$202,MATCH(90,$S$3:$S$202,0)),"")</f>
        <v/>
      </c>
      <c r="E95" s="41">
        <f>IFERROR(INDEX(بيانات!$A$3:$A$202,MATCH(90,$T$3:$T$202,0)),"")</f>
        <v/>
      </c>
      <c r="F95" s="41">
        <f>IFERROR(INDEX(بيانات!$B$3:$B$202,MATCH(90,$T$3:$T$202,0))&amp;" "&amp;INDEX(بيانات!$C$3:$C$202,MATCH(90,$T$3:$T$202,0)),"")</f>
        <v/>
      </c>
      <c r="G95" s="41">
        <f>IFERROR(INDEX(بيانات!$H$3:$H$202,MATCH(90,$T$3:$T$202,0)),"")</f>
        <v/>
      </c>
      <c r="I95" s="41">
        <f>IFERROR(INDEX(بيانات!$A$3:$A$202,MATCH(90,$U$3:$U$202,0)),"")</f>
        <v/>
      </c>
      <c r="J95" s="41">
        <f>IFERROR(INDEX(بيانات!$B$3:$B$202,MATCH(90,$U$3:$U$202,0))&amp;" "&amp;INDEX(بيانات!$C$3:$C$202,MATCH(90,$U$3:$U$202,0)),"")</f>
        <v/>
      </c>
      <c r="K95" s="41">
        <f>IFERROR(INDEX(بيانات!$H$3:$H$202,MATCH(90,$U$3:$U$202,0)),"")</f>
        <v/>
      </c>
      <c r="M95" s="41">
        <f>IFERROR(INDEX(بيانات!$A$3:$A$202,MATCH(90,$V$3:$V$202,0)),"")</f>
        <v/>
      </c>
      <c r="N95" s="41">
        <f>IFERROR(INDEX(بيانات!$B$3:$B$202,MATCH(90,$V$3:$V$202,0))&amp;" "&amp;INDEX(بيانات!$C$3:$C$202,MATCH(90,$V$3:$V$202,0)),"")</f>
        <v/>
      </c>
      <c r="O95" s="41">
        <f>IFERROR(INDEX(بيانات!$H$3:$H$202,MATCH(90,$V$3:$V$202,0)),"")</f>
        <v/>
      </c>
      <c r="S95">
        <f>IF(AND(بيانات!$B95&lt;&gt;"",بيانات!$G95="ذكر",بيانات!$H95&lt;13),COUNTA($S$3:S95),"")</f>
        <v/>
      </c>
      <c r="T95">
        <f>IF(AND(بيانات!$B95&lt;&gt;"",بيانات!$G95="أنثى",بيانات!$H95&lt;13),COUNTA($T$3:T95),"")</f>
        <v/>
      </c>
      <c r="U95">
        <f>IF(AND(بيانات!$B95&lt;&gt;"",بيانات!$G95="ذكر",بيانات!$H95&gt;=13),COUNTA($U$3:U95),"")</f>
        <v/>
      </c>
      <c r="V95">
        <f>IF(AND(بيانات!$B95&lt;&gt;"",بيانات!$G95="أنثى",بيانات!$H95&gt;=13),COUNTA($V$3:V95),"")</f>
        <v/>
      </c>
    </row>
    <row r="96">
      <c r="A96" s="41">
        <f>IFERROR(INDEX(بيانات!$A$3:$A$202,MATCH(91,$S$3:$S$202,0)),"")</f>
        <v/>
      </c>
      <c r="B96" s="41">
        <f>IFERROR(INDEX(بيانات!$B$3:$B$202,MATCH(91,$S$3:$S$202,0))&amp;" "&amp;INDEX(بيانات!$C$3:$C$202,MATCH(91,$S$3:$S$202,0)),"")</f>
        <v/>
      </c>
      <c r="C96" s="41">
        <f>IFERROR(INDEX(بيانات!$H$3:$H$202,MATCH(91,$S$3:$S$202,0)),"")</f>
        <v/>
      </c>
      <c r="E96" s="41">
        <f>IFERROR(INDEX(بيانات!$A$3:$A$202,MATCH(91,$T$3:$T$202,0)),"")</f>
        <v/>
      </c>
      <c r="F96" s="41">
        <f>IFERROR(INDEX(بيانات!$B$3:$B$202,MATCH(91,$T$3:$T$202,0))&amp;" "&amp;INDEX(بيانات!$C$3:$C$202,MATCH(91,$T$3:$T$202,0)),"")</f>
        <v/>
      </c>
      <c r="G96" s="41">
        <f>IFERROR(INDEX(بيانات!$H$3:$H$202,MATCH(91,$T$3:$T$202,0)),"")</f>
        <v/>
      </c>
      <c r="I96" s="41">
        <f>IFERROR(INDEX(بيانات!$A$3:$A$202,MATCH(91,$U$3:$U$202,0)),"")</f>
        <v/>
      </c>
      <c r="J96" s="41">
        <f>IFERROR(INDEX(بيانات!$B$3:$B$202,MATCH(91,$U$3:$U$202,0))&amp;" "&amp;INDEX(بيانات!$C$3:$C$202,MATCH(91,$U$3:$U$202,0)),"")</f>
        <v/>
      </c>
      <c r="K96" s="41">
        <f>IFERROR(INDEX(بيانات!$H$3:$H$202,MATCH(91,$U$3:$U$202,0)),"")</f>
        <v/>
      </c>
      <c r="M96" s="41">
        <f>IFERROR(INDEX(بيانات!$A$3:$A$202,MATCH(91,$V$3:$V$202,0)),"")</f>
        <v/>
      </c>
      <c r="N96" s="41">
        <f>IFERROR(INDEX(بيانات!$B$3:$B$202,MATCH(91,$V$3:$V$202,0))&amp;" "&amp;INDEX(بيانات!$C$3:$C$202,MATCH(91,$V$3:$V$202,0)),"")</f>
        <v/>
      </c>
      <c r="O96" s="41">
        <f>IFERROR(INDEX(بيانات!$H$3:$H$202,MATCH(91,$V$3:$V$202,0)),"")</f>
        <v/>
      </c>
      <c r="S96">
        <f>IF(AND(بيانات!$B96&lt;&gt;"",بيانات!$G96="ذكر",بيانات!$H96&lt;13),COUNTA($S$3:S96),"")</f>
        <v/>
      </c>
      <c r="T96">
        <f>IF(AND(بيانات!$B96&lt;&gt;"",بيانات!$G96="أنثى",بيانات!$H96&lt;13),COUNTA($T$3:T96),"")</f>
        <v/>
      </c>
      <c r="U96">
        <f>IF(AND(بيانات!$B96&lt;&gt;"",بيانات!$G96="ذكر",بيانات!$H96&gt;=13),COUNTA($U$3:U96),"")</f>
        <v/>
      </c>
      <c r="V96">
        <f>IF(AND(بيانات!$B96&lt;&gt;"",بيانات!$G96="أنثى",بيانات!$H96&gt;=13),COUNTA($V$3:V96),"")</f>
        <v/>
      </c>
    </row>
    <row r="97">
      <c r="A97" s="41">
        <f>IFERROR(INDEX(بيانات!$A$3:$A$202,MATCH(92,$S$3:$S$202,0)),"")</f>
        <v/>
      </c>
      <c r="B97" s="41">
        <f>IFERROR(INDEX(بيانات!$B$3:$B$202,MATCH(92,$S$3:$S$202,0))&amp;" "&amp;INDEX(بيانات!$C$3:$C$202,MATCH(92,$S$3:$S$202,0)),"")</f>
        <v/>
      </c>
      <c r="C97" s="41">
        <f>IFERROR(INDEX(بيانات!$H$3:$H$202,MATCH(92,$S$3:$S$202,0)),"")</f>
        <v/>
      </c>
      <c r="E97" s="41">
        <f>IFERROR(INDEX(بيانات!$A$3:$A$202,MATCH(92,$T$3:$T$202,0)),"")</f>
        <v/>
      </c>
      <c r="F97" s="41">
        <f>IFERROR(INDEX(بيانات!$B$3:$B$202,MATCH(92,$T$3:$T$202,0))&amp;" "&amp;INDEX(بيانات!$C$3:$C$202,MATCH(92,$T$3:$T$202,0)),"")</f>
        <v/>
      </c>
      <c r="G97" s="41">
        <f>IFERROR(INDEX(بيانات!$H$3:$H$202,MATCH(92,$T$3:$T$202,0)),"")</f>
        <v/>
      </c>
      <c r="I97" s="41">
        <f>IFERROR(INDEX(بيانات!$A$3:$A$202,MATCH(92,$U$3:$U$202,0)),"")</f>
        <v/>
      </c>
      <c r="J97" s="41">
        <f>IFERROR(INDEX(بيانات!$B$3:$B$202,MATCH(92,$U$3:$U$202,0))&amp;" "&amp;INDEX(بيانات!$C$3:$C$202,MATCH(92,$U$3:$U$202,0)),"")</f>
        <v/>
      </c>
      <c r="K97" s="41">
        <f>IFERROR(INDEX(بيانات!$H$3:$H$202,MATCH(92,$U$3:$U$202,0)),"")</f>
        <v/>
      </c>
      <c r="M97" s="41">
        <f>IFERROR(INDEX(بيانات!$A$3:$A$202,MATCH(92,$V$3:$V$202,0)),"")</f>
        <v/>
      </c>
      <c r="N97" s="41">
        <f>IFERROR(INDEX(بيانات!$B$3:$B$202,MATCH(92,$V$3:$V$202,0))&amp;" "&amp;INDEX(بيانات!$C$3:$C$202,MATCH(92,$V$3:$V$202,0)),"")</f>
        <v/>
      </c>
      <c r="O97" s="41">
        <f>IFERROR(INDEX(بيانات!$H$3:$H$202,MATCH(92,$V$3:$V$202,0)),"")</f>
        <v/>
      </c>
      <c r="S97">
        <f>IF(AND(بيانات!$B97&lt;&gt;"",بيانات!$G97="ذكر",بيانات!$H97&lt;13),COUNTA($S$3:S97),"")</f>
        <v/>
      </c>
      <c r="T97">
        <f>IF(AND(بيانات!$B97&lt;&gt;"",بيانات!$G97="أنثى",بيانات!$H97&lt;13),COUNTA($T$3:T97),"")</f>
        <v/>
      </c>
      <c r="U97">
        <f>IF(AND(بيانات!$B97&lt;&gt;"",بيانات!$G97="ذكر",بيانات!$H97&gt;=13),COUNTA($U$3:U97),"")</f>
        <v/>
      </c>
      <c r="V97">
        <f>IF(AND(بيانات!$B97&lt;&gt;"",بيانات!$G97="أنثى",بيانات!$H97&gt;=13),COUNTA($V$3:V97),"")</f>
        <v/>
      </c>
    </row>
    <row r="98">
      <c r="A98" s="41">
        <f>IFERROR(INDEX(بيانات!$A$3:$A$202,MATCH(93,$S$3:$S$202,0)),"")</f>
        <v/>
      </c>
      <c r="B98" s="41">
        <f>IFERROR(INDEX(بيانات!$B$3:$B$202,MATCH(93,$S$3:$S$202,0))&amp;" "&amp;INDEX(بيانات!$C$3:$C$202,MATCH(93,$S$3:$S$202,0)),"")</f>
        <v/>
      </c>
      <c r="C98" s="41">
        <f>IFERROR(INDEX(بيانات!$H$3:$H$202,MATCH(93,$S$3:$S$202,0)),"")</f>
        <v/>
      </c>
      <c r="E98" s="41">
        <f>IFERROR(INDEX(بيانات!$A$3:$A$202,MATCH(93,$T$3:$T$202,0)),"")</f>
        <v/>
      </c>
      <c r="F98" s="41">
        <f>IFERROR(INDEX(بيانات!$B$3:$B$202,MATCH(93,$T$3:$T$202,0))&amp;" "&amp;INDEX(بيانات!$C$3:$C$202,MATCH(93,$T$3:$T$202,0)),"")</f>
        <v/>
      </c>
      <c r="G98" s="41">
        <f>IFERROR(INDEX(بيانات!$H$3:$H$202,MATCH(93,$T$3:$T$202,0)),"")</f>
        <v/>
      </c>
      <c r="I98" s="41">
        <f>IFERROR(INDEX(بيانات!$A$3:$A$202,MATCH(93,$U$3:$U$202,0)),"")</f>
        <v/>
      </c>
      <c r="J98" s="41">
        <f>IFERROR(INDEX(بيانات!$B$3:$B$202,MATCH(93,$U$3:$U$202,0))&amp;" "&amp;INDEX(بيانات!$C$3:$C$202,MATCH(93,$U$3:$U$202,0)),"")</f>
        <v/>
      </c>
      <c r="K98" s="41">
        <f>IFERROR(INDEX(بيانات!$H$3:$H$202,MATCH(93,$U$3:$U$202,0)),"")</f>
        <v/>
      </c>
      <c r="M98" s="41">
        <f>IFERROR(INDEX(بيانات!$A$3:$A$202,MATCH(93,$V$3:$V$202,0)),"")</f>
        <v/>
      </c>
      <c r="N98" s="41">
        <f>IFERROR(INDEX(بيانات!$B$3:$B$202,MATCH(93,$V$3:$V$202,0))&amp;" "&amp;INDEX(بيانات!$C$3:$C$202,MATCH(93,$V$3:$V$202,0)),"")</f>
        <v/>
      </c>
      <c r="O98" s="41">
        <f>IFERROR(INDEX(بيانات!$H$3:$H$202,MATCH(93,$V$3:$V$202,0)),"")</f>
        <v/>
      </c>
      <c r="S98">
        <f>IF(AND(بيانات!$B98&lt;&gt;"",بيانات!$G98="ذكر",بيانات!$H98&lt;13),COUNTA($S$3:S98),"")</f>
        <v/>
      </c>
      <c r="T98">
        <f>IF(AND(بيانات!$B98&lt;&gt;"",بيانات!$G98="أنثى",بيانات!$H98&lt;13),COUNTA($T$3:T98),"")</f>
        <v/>
      </c>
      <c r="U98">
        <f>IF(AND(بيانات!$B98&lt;&gt;"",بيانات!$G98="ذكر",بيانات!$H98&gt;=13),COUNTA($U$3:U98),"")</f>
        <v/>
      </c>
      <c r="V98">
        <f>IF(AND(بيانات!$B98&lt;&gt;"",بيانات!$G98="أنثى",بيانات!$H98&gt;=13),COUNTA($V$3:V98),"")</f>
        <v/>
      </c>
    </row>
    <row r="99">
      <c r="A99" s="41">
        <f>IFERROR(INDEX(بيانات!$A$3:$A$202,MATCH(94,$S$3:$S$202,0)),"")</f>
        <v/>
      </c>
      <c r="B99" s="41">
        <f>IFERROR(INDEX(بيانات!$B$3:$B$202,MATCH(94,$S$3:$S$202,0))&amp;" "&amp;INDEX(بيانات!$C$3:$C$202,MATCH(94,$S$3:$S$202,0)),"")</f>
        <v/>
      </c>
      <c r="C99" s="41">
        <f>IFERROR(INDEX(بيانات!$H$3:$H$202,MATCH(94,$S$3:$S$202,0)),"")</f>
        <v/>
      </c>
      <c r="E99" s="41">
        <f>IFERROR(INDEX(بيانات!$A$3:$A$202,MATCH(94,$T$3:$T$202,0)),"")</f>
        <v/>
      </c>
      <c r="F99" s="41">
        <f>IFERROR(INDEX(بيانات!$B$3:$B$202,MATCH(94,$T$3:$T$202,0))&amp;" "&amp;INDEX(بيانات!$C$3:$C$202,MATCH(94,$T$3:$T$202,0)),"")</f>
        <v/>
      </c>
      <c r="G99" s="41">
        <f>IFERROR(INDEX(بيانات!$H$3:$H$202,MATCH(94,$T$3:$T$202,0)),"")</f>
        <v/>
      </c>
      <c r="I99" s="41">
        <f>IFERROR(INDEX(بيانات!$A$3:$A$202,MATCH(94,$U$3:$U$202,0)),"")</f>
        <v/>
      </c>
      <c r="J99" s="41">
        <f>IFERROR(INDEX(بيانات!$B$3:$B$202,MATCH(94,$U$3:$U$202,0))&amp;" "&amp;INDEX(بيانات!$C$3:$C$202,MATCH(94,$U$3:$U$202,0)),"")</f>
        <v/>
      </c>
      <c r="K99" s="41">
        <f>IFERROR(INDEX(بيانات!$H$3:$H$202,MATCH(94,$U$3:$U$202,0)),"")</f>
        <v/>
      </c>
      <c r="M99" s="41">
        <f>IFERROR(INDEX(بيانات!$A$3:$A$202,MATCH(94,$V$3:$V$202,0)),"")</f>
        <v/>
      </c>
      <c r="N99" s="41">
        <f>IFERROR(INDEX(بيانات!$B$3:$B$202,MATCH(94,$V$3:$V$202,0))&amp;" "&amp;INDEX(بيانات!$C$3:$C$202,MATCH(94,$V$3:$V$202,0)),"")</f>
        <v/>
      </c>
      <c r="O99" s="41">
        <f>IFERROR(INDEX(بيانات!$H$3:$H$202,MATCH(94,$V$3:$V$202,0)),"")</f>
        <v/>
      </c>
      <c r="S99">
        <f>IF(AND(بيانات!$B99&lt;&gt;"",بيانات!$G99="ذكر",بيانات!$H99&lt;13),COUNTA($S$3:S99),"")</f>
        <v/>
      </c>
      <c r="T99">
        <f>IF(AND(بيانات!$B99&lt;&gt;"",بيانات!$G99="أنثى",بيانات!$H99&lt;13),COUNTA($T$3:T99),"")</f>
        <v/>
      </c>
      <c r="U99">
        <f>IF(AND(بيانات!$B99&lt;&gt;"",بيانات!$G99="ذكر",بيانات!$H99&gt;=13),COUNTA($U$3:U99),"")</f>
        <v/>
      </c>
      <c r="V99">
        <f>IF(AND(بيانات!$B99&lt;&gt;"",بيانات!$G99="أنثى",بيانات!$H99&gt;=13),COUNTA($V$3:V99),"")</f>
        <v/>
      </c>
    </row>
    <row r="100">
      <c r="A100" s="41">
        <f>IFERROR(INDEX(بيانات!$A$3:$A$202,MATCH(95,$S$3:$S$202,0)),"")</f>
        <v/>
      </c>
      <c r="B100" s="41">
        <f>IFERROR(INDEX(بيانات!$B$3:$B$202,MATCH(95,$S$3:$S$202,0))&amp;" "&amp;INDEX(بيانات!$C$3:$C$202,MATCH(95,$S$3:$S$202,0)),"")</f>
        <v/>
      </c>
      <c r="C100" s="41">
        <f>IFERROR(INDEX(بيانات!$H$3:$H$202,MATCH(95,$S$3:$S$202,0)),"")</f>
        <v/>
      </c>
      <c r="E100" s="41">
        <f>IFERROR(INDEX(بيانات!$A$3:$A$202,MATCH(95,$T$3:$T$202,0)),"")</f>
        <v/>
      </c>
      <c r="F100" s="41">
        <f>IFERROR(INDEX(بيانات!$B$3:$B$202,MATCH(95,$T$3:$T$202,0))&amp;" "&amp;INDEX(بيانات!$C$3:$C$202,MATCH(95,$T$3:$T$202,0)),"")</f>
        <v/>
      </c>
      <c r="G100" s="41">
        <f>IFERROR(INDEX(بيانات!$H$3:$H$202,MATCH(95,$T$3:$T$202,0)),"")</f>
        <v/>
      </c>
      <c r="I100" s="41">
        <f>IFERROR(INDEX(بيانات!$A$3:$A$202,MATCH(95,$U$3:$U$202,0)),"")</f>
        <v/>
      </c>
      <c r="J100" s="41">
        <f>IFERROR(INDEX(بيانات!$B$3:$B$202,MATCH(95,$U$3:$U$202,0))&amp;" "&amp;INDEX(بيانات!$C$3:$C$202,MATCH(95,$U$3:$U$202,0)),"")</f>
        <v/>
      </c>
      <c r="K100" s="41">
        <f>IFERROR(INDEX(بيانات!$H$3:$H$202,MATCH(95,$U$3:$U$202,0)),"")</f>
        <v/>
      </c>
      <c r="M100" s="41">
        <f>IFERROR(INDEX(بيانات!$A$3:$A$202,MATCH(95,$V$3:$V$202,0)),"")</f>
        <v/>
      </c>
      <c r="N100" s="41">
        <f>IFERROR(INDEX(بيانات!$B$3:$B$202,MATCH(95,$V$3:$V$202,0))&amp;" "&amp;INDEX(بيانات!$C$3:$C$202,MATCH(95,$V$3:$V$202,0)),"")</f>
        <v/>
      </c>
      <c r="O100" s="41">
        <f>IFERROR(INDEX(بيانات!$H$3:$H$202,MATCH(95,$V$3:$V$202,0)),"")</f>
        <v/>
      </c>
      <c r="S100">
        <f>IF(AND(بيانات!$B100&lt;&gt;"",بيانات!$G100="ذكر",بيانات!$H100&lt;13),COUNTA($S$3:S100),"")</f>
        <v/>
      </c>
      <c r="T100">
        <f>IF(AND(بيانات!$B100&lt;&gt;"",بيانات!$G100="أنثى",بيانات!$H100&lt;13),COUNTA($T$3:T100),"")</f>
        <v/>
      </c>
      <c r="U100">
        <f>IF(AND(بيانات!$B100&lt;&gt;"",بيانات!$G100="ذكر",بيانات!$H100&gt;=13),COUNTA($U$3:U100),"")</f>
        <v/>
      </c>
      <c r="V100">
        <f>IF(AND(بيانات!$B100&lt;&gt;"",بيانات!$G100="أنثى",بيانات!$H100&gt;=13),COUNTA($V$3:V100),"")</f>
        <v/>
      </c>
    </row>
    <row r="101">
      <c r="A101" s="41">
        <f>IFERROR(INDEX(بيانات!$A$3:$A$202,MATCH(96,$S$3:$S$202,0)),"")</f>
        <v/>
      </c>
      <c r="B101" s="41">
        <f>IFERROR(INDEX(بيانات!$B$3:$B$202,MATCH(96,$S$3:$S$202,0))&amp;" "&amp;INDEX(بيانات!$C$3:$C$202,MATCH(96,$S$3:$S$202,0)),"")</f>
        <v/>
      </c>
      <c r="C101" s="41">
        <f>IFERROR(INDEX(بيانات!$H$3:$H$202,MATCH(96,$S$3:$S$202,0)),"")</f>
        <v/>
      </c>
      <c r="E101" s="41">
        <f>IFERROR(INDEX(بيانات!$A$3:$A$202,MATCH(96,$T$3:$T$202,0)),"")</f>
        <v/>
      </c>
      <c r="F101" s="41">
        <f>IFERROR(INDEX(بيانات!$B$3:$B$202,MATCH(96,$T$3:$T$202,0))&amp;" "&amp;INDEX(بيانات!$C$3:$C$202,MATCH(96,$T$3:$T$202,0)),"")</f>
        <v/>
      </c>
      <c r="G101" s="41">
        <f>IFERROR(INDEX(بيانات!$H$3:$H$202,MATCH(96,$T$3:$T$202,0)),"")</f>
        <v/>
      </c>
      <c r="I101" s="41">
        <f>IFERROR(INDEX(بيانات!$A$3:$A$202,MATCH(96,$U$3:$U$202,0)),"")</f>
        <v/>
      </c>
      <c r="J101" s="41">
        <f>IFERROR(INDEX(بيانات!$B$3:$B$202,MATCH(96,$U$3:$U$202,0))&amp;" "&amp;INDEX(بيانات!$C$3:$C$202,MATCH(96,$U$3:$U$202,0)),"")</f>
        <v/>
      </c>
      <c r="K101" s="41">
        <f>IFERROR(INDEX(بيانات!$H$3:$H$202,MATCH(96,$U$3:$U$202,0)),"")</f>
        <v/>
      </c>
      <c r="M101" s="41">
        <f>IFERROR(INDEX(بيانات!$A$3:$A$202,MATCH(96,$V$3:$V$202,0)),"")</f>
        <v/>
      </c>
      <c r="N101" s="41">
        <f>IFERROR(INDEX(بيانات!$B$3:$B$202,MATCH(96,$V$3:$V$202,0))&amp;" "&amp;INDEX(بيانات!$C$3:$C$202,MATCH(96,$V$3:$V$202,0)),"")</f>
        <v/>
      </c>
      <c r="O101" s="41">
        <f>IFERROR(INDEX(بيانات!$H$3:$H$202,MATCH(96,$V$3:$V$202,0)),"")</f>
        <v/>
      </c>
      <c r="S101">
        <f>IF(AND(بيانات!$B101&lt;&gt;"",بيانات!$G101="ذكر",بيانات!$H101&lt;13),COUNTA($S$3:S101),"")</f>
        <v/>
      </c>
      <c r="T101">
        <f>IF(AND(بيانات!$B101&lt;&gt;"",بيانات!$G101="أنثى",بيانات!$H101&lt;13),COUNTA($T$3:T101),"")</f>
        <v/>
      </c>
      <c r="U101">
        <f>IF(AND(بيانات!$B101&lt;&gt;"",بيانات!$G101="ذكر",بيانات!$H101&gt;=13),COUNTA($U$3:U101),"")</f>
        <v/>
      </c>
      <c r="V101">
        <f>IF(AND(بيانات!$B101&lt;&gt;"",بيانات!$G101="أنثى",بيانات!$H101&gt;=13),COUNTA($V$3:V101),"")</f>
        <v/>
      </c>
    </row>
    <row r="102">
      <c r="A102" s="41">
        <f>IFERROR(INDEX(بيانات!$A$3:$A$202,MATCH(97,$S$3:$S$202,0)),"")</f>
        <v/>
      </c>
      <c r="B102" s="41">
        <f>IFERROR(INDEX(بيانات!$B$3:$B$202,MATCH(97,$S$3:$S$202,0))&amp;" "&amp;INDEX(بيانات!$C$3:$C$202,MATCH(97,$S$3:$S$202,0)),"")</f>
        <v/>
      </c>
      <c r="C102" s="41">
        <f>IFERROR(INDEX(بيانات!$H$3:$H$202,MATCH(97,$S$3:$S$202,0)),"")</f>
        <v/>
      </c>
      <c r="E102" s="41">
        <f>IFERROR(INDEX(بيانات!$A$3:$A$202,MATCH(97,$T$3:$T$202,0)),"")</f>
        <v/>
      </c>
      <c r="F102" s="41">
        <f>IFERROR(INDEX(بيانات!$B$3:$B$202,MATCH(97,$T$3:$T$202,0))&amp;" "&amp;INDEX(بيانات!$C$3:$C$202,MATCH(97,$T$3:$T$202,0)),"")</f>
        <v/>
      </c>
      <c r="G102" s="41">
        <f>IFERROR(INDEX(بيانات!$H$3:$H$202,MATCH(97,$T$3:$T$202,0)),"")</f>
        <v/>
      </c>
      <c r="I102" s="41">
        <f>IFERROR(INDEX(بيانات!$A$3:$A$202,MATCH(97,$U$3:$U$202,0)),"")</f>
        <v/>
      </c>
      <c r="J102" s="41">
        <f>IFERROR(INDEX(بيانات!$B$3:$B$202,MATCH(97,$U$3:$U$202,0))&amp;" "&amp;INDEX(بيانات!$C$3:$C$202,MATCH(97,$U$3:$U$202,0)),"")</f>
        <v/>
      </c>
      <c r="K102" s="41">
        <f>IFERROR(INDEX(بيانات!$H$3:$H$202,MATCH(97,$U$3:$U$202,0)),"")</f>
        <v/>
      </c>
      <c r="M102" s="41">
        <f>IFERROR(INDEX(بيانات!$A$3:$A$202,MATCH(97,$V$3:$V$202,0)),"")</f>
        <v/>
      </c>
      <c r="N102" s="41">
        <f>IFERROR(INDEX(بيانات!$B$3:$B$202,MATCH(97,$V$3:$V$202,0))&amp;" "&amp;INDEX(بيانات!$C$3:$C$202,MATCH(97,$V$3:$V$202,0)),"")</f>
        <v/>
      </c>
      <c r="O102" s="41">
        <f>IFERROR(INDEX(بيانات!$H$3:$H$202,MATCH(97,$V$3:$V$202,0)),"")</f>
        <v/>
      </c>
      <c r="S102">
        <f>IF(AND(بيانات!$B102&lt;&gt;"",بيانات!$G102="ذكر",بيانات!$H102&lt;13),COUNTA($S$3:S102),"")</f>
        <v/>
      </c>
      <c r="T102">
        <f>IF(AND(بيانات!$B102&lt;&gt;"",بيانات!$G102="أنثى",بيانات!$H102&lt;13),COUNTA($T$3:T102),"")</f>
        <v/>
      </c>
      <c r="U102">
        <f>IF(AND(بيانات!$B102&lt;&gt;"",بيانات!$G102="ذكر",بيانات!$H102&gt;=13),COUNTA($U$3:U102),"")</f>
        <v/>
      </c>
      <c r="V102">
        <f>IF(AND(بيانات!$B102&lt;&gt;"",بيانات!$G102="أنثى",بيانات!$H102&gt;=13),COUNTA($V$3:V102),"")</f>
        <v/>
      </c>
    </row>
    <row r="103">
      <c r="A103" s="41">
        <f>IFERROR(INDEX(بيانات!$A$3:$A$202,MATCH(98,$S$3:$S$202,0)),"")</f>
        <v/>
      </c>
      <c r="B103" s="41">
        <f>IFERROR(INDEX(بيانات!$B$3:$B$202,MATCH(98,$S$3:$S$202,0))&amp;" "&amp;INDEX(بيانات!$C$3:$C$202,MATCH(98,$S$3:$S$202,0)),"")</f>
        <v/>
      </c>
      <c r="C103" s="41">
        <f>IFERROR(INDEX(بيانات!$H$3:$H$202,MATCH(98,$S$3:$S$202,0)),"")</f>
        <v/>
      </c>
      <c r="E103" s="41">
        <f>IFERROR(INDEX(بيانات!$A$3:$A$202,MATCH(98,$T$3:$T$202,0)),"")</f>
        <v/>
      </c>
      <c r="F103" s="41">
        <f>IFERROR(INDEX(بيانات!$B$3:$B$202,MATCH(98,$T$3:$T$202,0))&amp;" "&amp;INDEX(بيانات!$C$3:$C$202,MATCH(98,$T$3:$T$202,0)),"")</f>
        <v/>
      </c>
      <c r="G103" s="41">
        <f>IFERROR(INDEX(بيانات!$H$3:$H$202,MATCH(98,$T$3:$T$202,0)),"")</f>
        <v/>
      </c>
      <c r="I103" s="41">
        <f>IFERROR(INDEX(بيانات!$A$3:$A$202,MATCH(98,$U$3:$U$202,0)),"")</f>
        <v/>
      </c>
      <c r="J103" s="41">
        <f>IFERROR(INDEX(بيانات!$B$3:$B$202,MATCH(98,$U$3:$U$202,0))&amp;" "&amp;INDEX(بيانات!$C$3:$C$202,MATCH(98,$U$3:$U$202,0)),"")</f>
        <v/>
      </c>
      <c r="K103" s="41">
        <f>IFERROR(INDEX(بيانات!$H$3:$H$202,MATCH(98,$U$3:$U$202,0)),"")</f>
        <v/>
      </c>
      <c r="M103" s="41">
        <f>IFERROR(INDEX(بيانات!$A$3:$A$202,MATCH(98,$V$3:$V$202,0)),"")</f>
        <v/>
      </c>
      <c r="N103" s="41">
        <f>IFERROR(INDEX(بيانات!$B$3:$B$202,MATCH(98,$V$3:$V$202,0))&amp;" "&amp;INDEX(بيانات!$C$3:$C$202,MATCH(98,$V$3:$V$202,0)),"")</f>
        <v/>
      </c>
      <c r="O103" s="41">
        <f>IFERROR(INDEX(بيانات!$H$3:$H$202,MATCH(98,$V$3:$V$202,0)),"")</f>
        <v/>
      </c>
      <c r="S103">
        <f>IF(AND(بيانات!$B103&lt;&gt;"",بيانات!$G103="ذكر",بيانات!$H103&lt;13),COUNTA($S$3:S103),"")</f>
        <v/>
      </c>
      <c r="T103">
        <f>IF(AND(بيانات!$B103&lt;&gt;"",بيانات!$G103="أنثى",بيانات!$H103&lt;13),COUNTA($T$3:T103),"")</f>
        <v/>
      </c>
      <c r="U103">
        <f>IF(AND(بيانات!$B103&lt;&gt;"",بيانات!$G103="ذكر",بيانات!$H103&gt;=13),COUNTA($U$3:U103),"")</f>
        <v/>
      </c>
      <c r="V103">
        <f>IF(AND(بيانات!$B103&lt;&gt;"",بيانات!$G103="أنثى",بيانات!$H103&gt;=13),COUNTA($V$3:V103),"")</f>
        <v/>
      </c>
    </row>
    <row r="104">
      <c r="A104" s="41">
        <f>IFERROR(INDEX(بيانات!$A$3:$A$202,MATCH(99,$S$3:$S$202,0)),"")</f>
        <v/>
      </c>
      <c r="B104" s="41">
        <f>IFERROR(INDEX(بيانات!$B$3:$B$202,MATCH(99,$S$3:$S$202,0))&amp;" "&amp;INDEX(بيانات!$C$3:$C$202,MATCH(99,$S$3:$S$202,0)),"")</f>
        <v/>
      </c>
      <c r="C104" s="41">
        <f>IFERROR(INDEX(بيانات!$H$3:$H$202,MATCH(99,$S$3:$S$202,0)),"")</f>
        <v/>
      </c>
      <c r="E104" s="41">
        <f>IFERROR(INDEX(بيانات!$A$3:$A$202,MATCH(99,$T$3:$T$202,0)),"")</f>
        <v/>
      </c>
      <c r="F104" s="41">
        <f>IFERROR(INDEX(بيانات!$B$3:$B$202,MATCH(99,$T$3:$T$202,0))&amp;" "&amp;INDEX(بيانات!$C$3:$C$202,MATCH(99,$T$3:$T$202,0)),"")</f>
        <v/>
      </c>
      <c r="G104" s="41">
        <f>IFERROR(INDEX(بيانات!$H$3:$H$202,MATCH(99,$T$3:$T$202,0)),"")</f>
        <v/>
      </c>
      <c r="I104" s="41">
        <f>IFERROR(INDEX(بيانات!$A$3:$A$202,MATCH(99,$U$3:$U$202,0)),"")</f>
        <v/>
      </c>
      <c r="J104" s="41">
        <f>IFERROR(INDEX(بيانات!$B$3:$B$202,MATCH(99,$U$3:$U$202,0))&amp;" "&amp;INDEX(بيانات!$C$3:$C$202,MATCH(99,$U$3:$U$202,0)),"")</f>
        <v/>
      </c>
      <c r="K104" s="41">
        <f>IFERROR(INDEX(بيانات!$H$3:$H$202,MATCH(99,$U$3:$U$202,0)),"")</f>
        <v/>
      </c>
      <c r="M104" s="41">
        <f>IFERROR(INDEX(بيانات!$A$3:$A$202,MATCH(99,$V$3:$V$202,0)),"")</f>
        <v/>
      </c>
      <c r="N104" s="41">
        <f>IFERROR(INDEX(بيانات!$B$3:$B$202,MATCH(99,$V$3:$V$202,0))&amp;" "&amp;INDEX(بيانات!$C$3:$C$202,MATCH(99,$V$3:$V$202,0)),"")</f>
        <v/>
      </c>
      <c r="O104" s="41">
        <f>IFERROR(INDEX(بيانات!$H$3:$H$202,MATCH(99,$V$3:$V$202,0)),"")</f>
        <v/>
      </c>
      <c r="S104">
        <f>IF(AND(بيانات!$B104&lt;&gt;"",بيانات!$G104="ذكر",بيانات!$H104&lt;13),COUNTA($S$3:S104),"")</f>
        <v/>
      </c>
      <c r="T104">
        <f>IF(AND(بيانات!$B104&lt;&gt;"",بيانات!$G104="أنثى",بيانات!$H104&lt;13),COUNTA($T$3:T104),"")</f>
        <v/>
      </c>
      <c r="U104">
        <f>IF(AND(بيانات!$B104&lt;&gt;"",بيانات!$G104="ذكر",بيانات!$H104&gt;=13),COUNTA($U$3:U104),"")</f>
        <v/>
      </c>
      <c r="V104">
        <f>IF(AND(بيانات!$B104&lt;&gt;"",بيانات!$G104="أنثى",بيانات!$H104&gt;=13),COUNTA($V$3:V104),"")</f>
        <v/>
      </c>
    </row>
    <row r="105">
      <c r="A105" s="41">
        <f>IFERROR(INDEX(بيانات!$A$3:$A$202,MATCH(100,$S$3:$S$202,0)),"")</f>
        <v/>
      </c>
      <c r="B105" s="41">
        <f>IFERROR(INDEX(بيانات!$B$3:$B$202,MATCH(100,$S$3:$S$202,0))&amp;" "&amp;INDEX(بيانات!$C$3:$C$202,MATCH(100,$S$3:$S$202,0)),"")</f>
        <v/>
      </c>
      <c r="C105" s="41">
        <f>IFERROR(INDEX(بيانات!$H$3:$H$202,MATCH(100,$S$3:$S$202,0)),"")</f>
        <v/>
      </c>
      <c r="E105" s="41">
        <f>IFERROR(INDEX(بيانات!$A$3:$A$202,MATCH(100,$T$3:$T$202,0)),"")</f>
        <v/>
      </c>
      <c r="F105" s="41">
        <f>IFERROR(INDEX(بيانات!$B$3:$B$202,MATCH(100,$T$3:$T$202,0))&amp;" "&amp;INDEX(بيانات!$C$3:$C$202,MATCH(100,$T$3:$T$202,0)),"")</f>
        <v/>
      </c>
      <c r="G105" s="41">
        <f>IFERROR(INDEX(بيانات!$H$3:$H$202,MATCH(100,$T$3:$T$202,0)),"")</f>
        <v/>
      </c>
      <c r="I105" s="41">
        <f>IFERROR(INDEX(بيانات!$A$3:$A$202,MATCH(100,$U$3:$U$202,0)),"")</f>
        <v/>
      </c>
      <c r="J105" s="41">
        <f>IFERROR(INDEX(بيانات!$B$3:$B$202,MATCH(100,$U$3:$U$202,0))&amp;" "&amp;INDEX(بيانات!$C$3:$C$202,MATCH(100,$U$3:$U$202,0)),"")</f>
        <v/>
      </c>
      <c r="K105" s="41">
        <f>IFERROR(INDEX(بيانات!$H$3:$H$202,MATCH(100,$U$3:$U$202,0)),"")</f>
        <v/>
      </c>
      <c r="M105" s="41">
        <f>IFERROR(INDEX(بيانات!$A$3:$A$202,MATCH(100,$V$3:$V$202,0)),"")</f>
        <v/>
      </c>
      <c r="N105" s="41">
        <f>IFERROR(INDEX(بيانات!$B$3:$B$202,MATCH(100,$V$3:$V$202,0))&amp;" "&amp;INDEX(بيانات!$C$3:$C$202,MATCH(100,$V$3:$V$202,0)),"")</f>
        <v/>
      </c>
      <c r="O105" s="41">
        <f>IFERROR(INDEX(بيانات!$H$3:$H$202,MATCH(100,$V$3:$V$202,0)),"")</f>
        <v/>
      </c>
      <c r="S105">
        <f>IF(AND(بيانات!$B105&lt;&gt;"",بيانات!$G105="ذكر",بيانات!$H105&lt;13),COUNTA($S$3:S105),"")</f>
        <v/>
      </c>
      <c r="T105">
        <f>IF(AND(بيانات!$B105&lt;&gt;"",بيانات!$G105="أنثى",بيانات!$H105&lt;13),COUNTA($T$3:T105),"")</f>
        <v/>
      </c>
      <c r="U105">
        <f>IF(AND(بيانات!$B105&lt;&gt;"",بيانات!$G105="ذكر",بيانات!$H105&gt;=13),COUNTA($U$3:U105),"")</f>
        <v/>
      </c>
      <c r="V105">
        <f>IF(AND(بيانات!$B105&lt;&gt;"",بيانات!$G105="أنثى",بيانات!$H105&gt;=13),COUNTA($V$3:V105),"")</f>
        <v/>
      </c>
    </row>
    <row r="106">
      <c r="S106">
        <f>IF(AND(بيانات!$B106&lt;&gt;"",بيانات!$G106="ذكر",بيانات!$H106&lt;13),COUNTA($S$3:S106),"")</f>
        <v/>
      </c>
      <c r="T106">
        <f>IF(AND(بيانات!$B106&lt;&gt;"",بيانات!$G106="أنثى",بيانات!$H106&lt;13),COUNTA($T$3:T106),"")</f>
        <v/>
      </c>
      <c r="U106">
        <f>IF(AND(بيانات!$B106&lt;&gt;"",بيانات!$G106="ذكر",بيانات!$H106&gt;=13),COUNTA($U$3:U106),"")</f>
        <v/>
      </c>
      <c r="V106">
        <f>IF(AND(بيانات!$B106&lt;&gt;"",بيانات!$G106="أنثى",بيانات!$H106&gt;=13),COUNTA($V$3:V106),"")</f>
        <v/>
      </c>
    </row>
    <row r="107">
      <c r="S107">
        <f>IF(AND(بيانات!$B107&lt;&gt;"",بيانات!$G107="ذكر",بيانات!$H107&lt;13),COUNTA($S$3:S107),"")</f>
        <v/>
      </c>
      <c r="T107">
        <f>IF(AND(بيانات!$B107&lt;&gt;"",بيانات!$G107="أنثى",بيانات!$H107&lt;13),COUNTA($T$3:T107),"")</f>
        <v/>
      </c>
      <c r="U107">
        <f>IF(AND(بيانات!$B107&lt;&gt;"",بيانات!$G107="ذكر",بيانات!$H107&gt;=13),COUNTA($U$3:U107),"")</f>
        <v/>
      </c>
      <c r="V107">
        <f>IF(AND(بيانات!$B107&lt;&gt;"",بيانات!$G107="أنثى",بيانات!$H107&gt;=13),COUNTA($V$3:V107),"")</f>
        <v/>
      </c>
    </row>
    <row r="108">
      <c r="S108">
        <f>IF(AND(بيانات!$B108&lt;&gt;"",بيانات!$G108="ذكر",بيانات!$H108&lt;13),COUNTA($S$3:S108),"")</f>
        <v/>
      </c>
      <c r="T108">
        <f>IF(AND(بيانات!$B108&lt;&gt;"",بيانات!$G108="أنثى",بيانات!$H108&lt;13),COUNTA($T$3:T108),"")</f>
        <v/>
      </c>
      <c r="U108">
        <f>IF(AND(بيانات!$B108&lt;&gt;"",بيانات!$G108="ذكر",بيانات!$H108&gt;=13),COUNTA($U$3:U108),"")</f>
        <v/>
      </c>
      <c r="V108">
        <f>IF(AND(بيانات!$B108&lt;&gt;"",بيانات!$G108="أنثى",بيانات!$H108&gt;=13),COUNTA($V$3:V108),"")</f>
        <v/>
      </c>
    </row>
    <row r="109">
      <c r="S109">
        <f>IF(AND(بيانات!$B109&lt;&gt;"",بيانات!$G109="ذكر",بيانات!$H109&lt;13),COUNTA($S$3:S109),"")</f>
        <v/>
      </c>
      <c r="T109">
        <f>IF(AND(بيانات!$B109&lt;&gt;"",بيانات!$G109="أنثى",بيانات!$H109&lt;13),COUNTA($T$3:T109),"")</f>
        <v/>
      </c>
      <c r="U109">
        <f>IF(AND(بيانات!$B109&lt;&gt;"",بيانات!$G109="ذكر",بيانات!$H109&gt;=13),COUNTA($U$3:U109),"")</f>
        <v/>
      </c>
      <c r="V109">
        <f>IF(AND(بيانات!$B109&lt;&gt;"",بيانات!$G109="أنثى",بيانات!$H109&gt;=13),COUNTA($V$3:V109),"")</f>
        <v/>
      </c>
    </row>
    <row r="110">
      <c r="S110">
        <f>IF(AND(بيانات!$B110&lt;&gt;"",بيانات!$G110="ذكر",بيانات!$H110&lt;13),COUNTA($S$3:S110),"")</f>
        <v/>
      </c>
      <c r="T110">
        <f>IF(AND(بيانات!$B110&lt;&gt;"",بيانات!$G110="أنثى",بيانات!$H110&lt;13),COUNTA($T$3:T110),"")</f>
        <v/>
      </c>
      <c r="U110">
        <f>IF(AND(بيانات!$B110&lt;&gt;"",بيانات!$G110="ذكر",بيانات!$H110&gt;=13),COUNTA($U$3:U110),"")</f>
        <v/>
      </c>
      <c r="V110">
        <f>IF(AND(بيانات!$B110&lt;&gt;"",بيانات!$G110="أنثى",بيانات!$H110&gt;=13),COUNTA($V$3:V110),"")</f>
        <v/>
      </c>
    </row>
    <row r="111">
      <c r="S111">
        <f>IF(AND(بيانات!$B111&lt;&gt;"",بيانات!$G111="ذكر",بيانات!$H111&lt;13),COUNTA($S$3:S111),"")</f>
        <v/>
      </c>
      <c r="T111">
        <f>IF(AND(بيانات!$B111&lt;&gt;"",بيانات!$G111="أنثى",بيانات!$H111&lt;13),COUNTA($T$3:T111),"")</f>
        <v/>
      </c>
      <c r="U111">
        <f>IF(AND(بيانات!$B111&lt;&gt;"",بيانات!$G111="ذكر",بيانات!$H111&gt;=13),COUNTA($U$3:U111),"")</f>
        <v/>
      </c>
      <c r="V111">
        <f>IF(AND(بيانات!$B111&lt;&gt;"",بيانات!$G111="أنثى",بيانات!$H111&gt;=13),COUNTA($V$3:V111),"")</f>
        <v/>
      </c>
    </row>
    <row r="112">
      <c r="S112">
        <f>IF(AND(بيانات!$B112&lt;&gt;"",بيانات!$G112="ذكر",بيانات!$H112&lt;13),COUNTA($S$3:S112),"")</f>
        <v/>
      </c>
      <c r="T112">
        <f>IF(AND(بيانات!$B112&lt;&gt;"",بيانات!$G112="أنثى",بيانات!$H112&lt;13),COUNTA($T$3:T112),"")</f>
        <v/>
      </c>
      <c r="U112">
        <f>IF(AND(بيانات!$B112&lt;&gt;"",بيانات!$G112="ذكر",بيانات!$H112&gt;=13),COUNTA($U$3:U112),"")</f>
        <v/>
      </c>
      <c r="V112">
        <f>IF(AND(بيانات!$B112&lt;&gt;"",بيانات!$G112="أنثى",بيانات!$H112&gt;=13),COUNTA($V$3:V112),"")</f>
        <v/>
      </c>
    </row>
    <row r="113">
      <c r="S113">
        <f>IF(AND(بيانات!$B113&lt;&gt;"",بيانات!$G113="ذكر",بيانات!$H113&lt;13),COUNTA($S$3:S113),"")</f>
        <v/>
      </c>
      <c r="T113">
        <f>IF(AND(بيانات!$B113&lt;&gt;"",بيانات!$G113="أنثى",بيانات!$H113&lt;13),COUNTA($T$3:T113),"")</f>
        <v/>
      </c>
      <c r="U113">
        <f>IF(AND(بيانات!$B113&lt;&gt;"",بيانات!$G113="ذكر",بيانات!$H113&gt;=13),COUNTA($U$3:U113),"")</f>
        <v/>
      </c>
      <c r="V113">
        <f>IF(AND(بيانات!$B113&lt;&gt;"",بيانات!$G113="أنثى",بيانات!$H113&gt;=13),COUNTA($V$3:V113),"")</f>
        <v/>
      </c>
    </row>
    <row r="114">
      <c r="S114">
        <f>IF(AND(بيانات!$B114&lt;&gt;"",بيانات!$G114="ذكر",بيانات!$H114&lt;13),COUNTA($S$3:S114),"")</f>
        <v/>
      </c>
      <c r="T114">
        <f>IF(AND(بيانات!$B114&lt;&gt;"",بيانات!$G114="أنثى",بيانات!$H114&lt;13),COUNTA($T$3:T114),"")</f>
        <v/>
      </c>
      <c r="U114">
        <f>IF(AND(بيانات!$B114&lt;&gt;"",بيانات!$G114="ذكر",بيانات!$H114&gt;=13),COUNTA($U$3:U114),"")</f>
        <v/>
      </c>
      <c r="V114">
        <f>IF(AND(بيانات!$B114&lt;&gt;"",بيانات!$G114="أنثى",بيانات!$H114&gt;=13),COUNTA($V$3:V114),"")</f>
        <v/>
      </c>
    </row>
    <row r="115">
      <c r="S115">
        <f>IF(AND(بيانات!$B115&lt;&gt;"",بيانات!$G115="ذكر",بيانات!$H115&lt;13),COUNTA($S$3:S115),"")</f>
        <v/>
      </c>
      <c r="T115">
        <f>IF(AND(بيانات!$B115&lt;&gt;"",بيانات!$G115="أنثى",بيانات!$H115&lt;13),COUNTA($T$3:T115),"")</f>
        <v/>
      </c>
      <c r="U115">
        <f>IF(AND(بيانات!$B115&lt;&gt;"",بيانات!$G115="ذكر",بيانات!$H115&gt;=13),COUNTA($U$3:U115),"")</f>
        <v/>
      </c>
      <c r="V115">
        <f>IF(AND(بيانات!$B115&lt;&gt;"",بيانات!$G115="أنثى",بيانات!$H115&gt;=13),COUNTA($V$3:V115),"")</f>
        <v/>
      </c>
    </row>
    <row r="116">
      <c r="S116">
        <f>IF(AND(بيانات!$B116&lt;&gt;"",بيانات!$G116="ذكر",بيانات!$H116&lt;13),COUNTA($S$3:S116),"")</f>
        <v/>
      </c>
      <c r="T116">
        <f>IF(AND(بيانات!$B116&lt;&gt;"",بيانات!$G116="أنثى",بيانات!$H116&lt;13),COUNTA($T$3:T116),"")</f>
        <v/>
      </c>
      <c r="U116">
        <f>IF(AND(بيانات!$B116&lt;&gt;"",بيانات!$G116="ذكر",بيانات!$H116&gt;=13),COUNTA($U$3:U116),"")</f>
        <v/>
      </c>
      <c r="V116">
        <f>IF(AND(بيانات!$B116&lt;&gt;"",بيانات!$G116="أنثى",بيانات!$H116&gt;=13),COUNTA($V$3:V116),"")</f>
        <v/>
      </c>
    </row>
    <row r="117">
      <c r="S117">
        <f>IF(AND(بيانات!$B117&lt;&gt;"",بيانات!$G117="ذكر",بيانات!$H117&lt;13),COUNTA($S$3:S117),"")</f>
        <v/>
      </c>
      <c r="T117">
        <f>IF(AND(بيانات!$B117&lt;&gt;"",بيانات!$G117="أنثى",بيانات!$H117&lt;13),COUNTA($T$3:T117),"")</f>
        <v/>
      </c>
      <c r="U117">
        <f>IF(AND(بيانات!$B117&lt;&gt;"",بيانات!$G117="ذكر",بيانات!$H117&gt;=13),COUNTA($U$3:U117),"")</f>
        <v/>
      </c>
      <c r="V117">
        <f>IF(AND(بيانات!$B117&lt;&gt;"",بيانات!$G117="أنثى",بيانات!$H117&gt;=13),COUNTA($V$3:V117),"")</f>
        <v/>
      </c>
    </row>
    <row r="118">
      <c r="S118">
        <f>IF(AND(بيانات!$B118&lt;&gt;"",بيانات!$G118="ذكر",بيانات!$H118&lt;13),COUNTA($S$3:S118),"")</f>
        <v/>
      </c>
      <c r="T118">
        <f>IF(AND(بيانات!$B118&lt;&gt;"",بيانات!$G118="أنثى",بيانات!$H118&lt;13),COUNTA($T$3:T118),"")</f>
        <v/>
      </c>
      <c r="U118">
        <f>IF(AND(بيانات!$B118&lt;&gt;"",بيانات!$G118="ذكر",بيانات!$H118&gt;=13),COUNTA($U$3:U118),"")</f>
        <v/>
      </c>
      <c r="V118">
        <f>IF(AND(بيانات!$B118&lt;&gt;"",بيانات!$G118="أنثى",بيانات!$H118&gt;=13),COUNTA($V$3:V118),"")</f>
        <v/>
      </c>
    </row>
    <row r="119">
      <c r="S119">
        <f>IF(AND(بيانات!$B119&lt;&gt;"",بيانات!$G119="ذكر",بيانات!$H119&lt;13),COUNTA($S$3:S119),"")</f>
        <v/>
      </c>
      <c r="T119">
        <f>IF(AND(بيانات!$B119&lt;&gt;"",بيانات!$G119="أنثى",بيانات!$H119&lt;13),COUNTA($T$3:T119),"")</f>
        <v/>
      </c>
      <c r="U119">
        <f>IF(AND(بيانات!$B119&lt;&gt;"",بيانات!$G119="ذكر",بيانات!$H119&gt;=13),COUNTA($U$3:U119),"")</f>
        <v/>
      </c>
      <c r="V119">
        <f>IF(AND(بيانات!$B119&lt;&gt;"",بيانات!$G119="أنثى",بيانات!$H119&gt;=13),COUNTA($V$3:V119),"")</f>
        <v/>
      </c>
    </row>
    <row r="120">
      <c r="S120">
        <f>IF(AND(بيانات!$B120&lt;&gt;"",بيانات!$G120="ذكر",بيانات!$H120&lt;13),COUNTA($S$3:S120),"")</f>
        <v/>
      </c>
      <c r="T120">
        <f>IF(AND(بيانات!$B120&lt;&gt;"",بيانات!$G120="أنثى",بيانات!$H120&lt;13),COUNTA($T$3:T120),"")</f>
        <v/>
      </c>
      <c r="U120">
        <f>IF(AND(بيانات!$B120&lt;&gt;"",بيانات!$G120="ذكر",بيانات!$H120&gt;=13),COUNTA($U$3:U120),"")</f>
        <v/>
      </c>
      <c r="V120">
        <f>IF(AND(بيانات!$B120&lt;&gt;"",بيانات!$G120="أنثى",بيانات!$H120&gt;=13),COUNTA($V$3:V120),"")</f>
        <v/>
      </c>
    </row>
    <row r="121">
      <c r="S121">
        <f>IF(AND(بيانات!$B121&lt;&gt;"",بيانات!$G121="ذكر",بيانات!$H121&lt;13),COUNTA($S$3:S121),"")</f>
        <v/>
      </c>
      <c r="T121">
        <f>IF(AND(بيانات!$B121&lt;&gt;"",بيانات!$G121="أنثى",بيانات!$H121&lt;13),COUNTA($T$3:T121),"")</f>
        <v/>
      </c>
      <c r="U121">
        <f>IF(AND(بيانات!$B121&lt;&gt;"",بيانات!$G121="ذكر",بيانات!$H121&gt;=13),COUNTA($U$3:U121),"")</f>
        <v/>
      </c>
      <c r="V121">
        <f>IF(AND(بيانات!$B121&lt;&gt;"",بيانات!$G121="أنثى",بيانات!$H121&gt;=13),COUNTA($V$3:V121),"")</f>
        <v/>
      </c>
    </row>
    <row r="122">
      <c r="S122">
        <f>IF(AND(بيانات!$B122&lt;&gt;"",بيانات!$G122="ذكر",بيانات!$H122&lt;13),COUNTA($S$3:S122),"")</f>
        <v/>
      </c>
      <c r="T122">
        <f>IF(AND(بيانات!$B122&lt;&gt;"",بيانات!$G122="أنثى",بيانات!$H122&lt;13),COUNTA($T$3:T122),"")</f>
        <v/>
      </c>
      <c r="U122">
        <f>IF(AND(بيانات!$B122&lt;&gt;"",بيانات!$G122="ذكر",بيانات!$H122&gt;=13),COUNTA($U$3:U122),"")</f>
        <v/>
      </c>
      <c r="V122">
        <f>IF(AND(بيانات!$B122&lt;&gt;"",بيانات!$G122="أنثى",بيانات!$H122&gt;=13),COUNTA($V$3:V122),"")</f>
        <v/>
      </c>
    </row>
    <row r="123">
      <c r="S123">
        <f>IF(AND(بيانات!$B123&lt;&gt;"",بيانات!$G123="ذكر",بيانات!$H123&lt;13),COUNTA($S$3:S123),"")</f>
        <v/>
      </c>
      <c r="T123">
        <f>IF(AND(بيانات!$B123&lt;&gt;"",بيانات!$G123="أنثى",بيانات!$H123&lt;13),COUNTA($T$3:T123),"")</f>
        <v/>
      </c>
      <c r="U123">
        <f>IF(AND(بيانات!$B123&lt;&gt;"",بيانات!$G123="ذكر",بيانات!$H123&gt;=13),COUNTA($U$3:U123),"")</f>
        <v/>
      </c>
      <c r="V123">
        <f>IF(AND(بيانات!$B123&lt;&gt;"",بيانات!$G123="أنثى",بيانات!$H123&gt;=13),COUNTA($V$3:V123),"")</f>
        <v/>
      </c>
    </row>
    <row r="124">
      <c r="S124">
        <f>IF(AND(بيانات!$B124&lt;&gt;"",بيانات!$G124="ذكر",بيانات!$H124&lt;13),COUNTA($S$3:S124),"")</f>
        <v/>
      </c>
      <c r="T124">
        <f>IF(AND(بيانات!$B124&lt;&gt;"",بيانات!$G124="أنثى",بيانات!$H124&lt;13),COUNTA($T$3:T124),"")</f>
        <v/>
      </c>
      <c r="U124">
        <f>IF(AND(بيانات!$B124&lt;&gt;"",بيانات!$G124="ذكر",بيانات!$H124&gt;=13),COUNTA($U$3:U124),"")</f>
        <v/>
      </c>
      <c r="V124">
        <f>IF(AND(بيانات!$B124&lt;&gt;"",بيانات!$G124="أنثى",بيانات!$H124&gt;=13),COUNTA($V$3:V124),"")</f>
        <v/>
      </c>
    </row>
    <row r="125">
      <c r="S125">
        <f>IF(AND(بيانات!$B125&lt;&gt;"",بيانات!$G125="ذكر",بيانات!$H125&lt;13),COUNTA($S$3:S125),"")</f>
        <v/>
      </c>
      <c r="T125">
        <f>IF(AND(بيانات!$B125&lt;&gt;"",بيانات!$G125="أنثى",بيانات!$H125&lt;13),COUNTA($T$3:T125),"")</f>
        <v/>
      </c>
      <c r="U125">
        <f>IF(AND(بيانات!$B125&lt;&gt;"",بيانات!$G125="ذكر",بيانات!$H125&gt;=13),COUNTA($U$3:U125),"")</f>
        <v/>
      </c>
      <c r="V125">
        <f>IF(AND(بيانات!$B125&lt;&gt;"",بيانات!$G125="أنثى",بيانات!$H125&gt;=13),COUNTA($V$3:V125),"")</f>
        <v/>
      </c>
    </row>
    <row r="126">
      <c r="S126">
        <f>IF(AND(بيانات!$B126&lt;&gt;"",بيانات!$G126="ذكر",بيانات!$H126&lt;13),COUNTA($S$3:S126),"")</f>
        <v/>
      </c>
      <c r="T126">
        <f>IF(AND(بيانات!$B126&lt;&gt;"",بيانات!$G126="أنثى",بيانات!$H126&lt;13),COUNTA($T$3:T126),"")</f>
        <v/>
      </c>
      <c r="U126">
        <f>IF(AND(بيانات!$B126&lt;&gt;"",بيانات!$G126="ذكر",بيانات!$H126&gt;=13),COUNTA($U$3:U126),"")</f>
        <v/>
      </c>
      <c r="V126">
        <f>IF(AND(بيانات!$B126&lt;&gt;"",بيانات!$G126="أنثى",بيانات!$H126&gt;=13),COUNTA($V$3:V126),"")</f>
        <v/>
      </c>
    </row>
    <row r="127">
      <c r="S127">
        <f>IF(AND(بيانات!$B127&lt;&gt;"",بيانات!$G127="ذكر",بيانات!$H127&lt;13),COUNTA($S$3:S127),"")</f>
        <v/>
      </c>
      <c r="T127">
        <f>IF(AND(بيانات!$B127&lt;&gt;"",بيانات!$G127="أنثى",بيانات!$H127&lt;13),COUNTA($T$3:T127),"")</f>
        <v/>
      </c>
      <c r="U127">
        <f>IF(AND(بيانات!$B127&lt;&gt;"",بيانات!$G127="ذكر",بيانات!$H127&gt;=13),COUNTA($U$3:U127),"")</f>
        <v/>
      </c>
      <c r="V127">
        <f>IF(AND(بيانات!$B127&lt;&gt;"",بيانات!$G127="أنثى",بيانات!$H127&gt;=13),COUNTA($V$3:V127),"")</f>
        <v/>
      </c>
    </row>
    <row r="128">
      <c r="S128">
        <f>IF(AND(بيانات!$B128&lt;&gt;"",بيانات!$G128="ذكر",بيانات!$H128&lt;13),COUNTA($S$3:S128),"")</f>
        <v/>
      </c>
      <c r="T128">
        <f>IF(AND(بيانات!$B128&lt;&gt;"",بيانات!$G128="أنثى",بيانات!$H128&lt;13),COUNTA($T$3:T128),"")</f>
        <v/>
      </c>
      <c r="U128">
        <f>IF(AND(بيانات!$B128&lt;&gt;"",بيانات!$G128="ذكر",بيانات!$H128&gt;=13),COUNTA($U$3:U128),"")</f>
        <v/>
      </c>
      <c r="V128">
        <f>IF(AND(بيانات!$B128&lt;&gt;"",بيانات!$G128="أنثى",بيانات!$H128&gt;=13),COUNTA($V$3:V128),"")</f>
        <v/>
      </c>
    </row>
    <row r="129">
      <c r="S129">
        <f>IF(AND(بيانات!$B129&lt;&gt;"",بيانات!$G129="ذكر",بيانات!$H129&lt;13),COUNTA($S$3:S129),"")</f>
        <v/>
      </c>
      <c r="T129">
        <f>IF(AND(بيانات!$B129&lt;&gt;"",بيانات!$G129="أنثى",بيانات!$H129&lt;13),COUNTA($T$3:T129),"")</f>
        <v/>
      </c>
      <c r="U129">
        <f>IF(AND(بيانات!$B129&lt;&gt;"",بيانات!$G129="ذكر",بيانات!$H129&gt;=13),COUNTA($U$3:U129),"")</f>
        <v/>
      </c>
      <c r="V129">
        <f>IF(AND(بيانات!$B129&lt;&gt;"",بيانات!$G129="أنثى",بيانات!$H129&gt;=13),COUNTA($V$3:V129),"")</f>
        <v/>
      </c>
    </row>
    <row r="130">
      <c r="S130">
        <f>IF(AND(بيانات!$B130&lt;&gt;"",بيانات!$G130="ذكر",بيانات!$H130&lt;13),COUNTA($S$3:S130),"")</f>
        <v/>
      </c>
      <c r="T130">
        <f>IF(AND(بيانات!$B130&lt;&gt;"",بيانات!$G130="أنثى",بيانات!$H130&lt;13),COUNTA($T$3:T130),"")</f>
        <v/>
      </c>
      <c r="U130">
        <f>IF(AND(بيانات!$B130&lt;&gt;"",بيانات!$G130="ذكر",بيانات!$H130&gt;=13),COUNTA($U$3:U130),"")</f>
        <v/>
      </c>
      <c r="V130">
        <f>IF(AND(بيانات!$B130&lt;&gt;"",بيانات!$G130="أنثى",بيانات!$H130&gt;=13),COUNTA($V$3:V130),"")</f>
        <v/>
      </c>
    </row>
    <row r="131">
      <c r="S131">
        <f>IF(AND(بيانات!$B131&lt;&gt;"",بيانات!$G131="ذكر",بيانات!$H131&lt;13),COUNTA($S$3:S131),"")</f>
        <v/>
      </c>
      <c r="T131">
        <f>IF(AND(بيانات!$B131&lt;&gt;"",بيانات!$G131="أنثى",بيانات!$H131&lt;13),COUNTA($T$3:T131),"")</f>
        <v/>
      </c>
      <c r="U131">
        <f>IF(AND(بيانات!$B131&lt;&gt;"",بيانات!$G131="ذكر",بيانات!$H131&gt;=13),COUNTA($U$3:U131),"")</f>
        <v/>
      </c>
      <c r="V131">
        <f>IF(AND(بيانات!$B131&lt;&gt;"",بيانات!$G131="أنثى",بيانات!$H131&gt;=13),COUNTA($V$3:V131),"")</f>
        <v/>
      </c>
    </row>
    <row r="132">
      <c r="S132">
        <f>IF(AND(بيانات!$B132&lt;&gt;"",بيانات!$G132="ذكر",بيانات!$H132&lt;13),COUNTA($S$3:S132),"")</f>
        <v/>
      </c>
      <c r="T132">
        <f>IF(AND(بيانات!$B132&lt;&gt;"",بيانات!$G132="أنثى",بيانات!$H132&lt;13),COUNTA($T$3:T132),"")</f>
        <v/>
      </c>
      <c r="U132">
        <f>IF(AND(بيانات!$B132&lt;&gt;"",بيانات!$G132="ذكر",بيانات!$H132&gt;=13),COUNTA($U$3:U132),"")</f>
        <v/>
      </c>
      <c r="V132">
        <f>IF(AND(بيانات!$B132&lt;&gt;"",بيانات!$G132="أنثى",بيانات!$H132&gt;=13),COUNTA($V$3:V132),"")</f>
        <v/>
      </c>
    </row>
    <row r="133">
      <c r="S133">
        <f>IF(AND(بيانات!$B133&lt;&gt;"",بيانات!$G133="ذكر",بيانات!$H133&lt;13),COUNTA($S$3:S133),"")</f>
        <v/>
      </c>
      <c r="T133">
        <f>IF(AND(بيانات!$B133&lt;&gt;"",بيانات!$G133="أنثى",بيانات!$H133&lt;13),COUNTA($T$3:T133),"")</f>
        <v/>
      </c>
      <c r="U133">
        <f>IF(AND(بيانات!$B133&lt;&gt;"",بيانات!$G133="ذكر",بيانات!$H133&gt;=13),COUNTA($U$3:U133),"")</f>
        <v/>
      </c>
      <c r="V133">
        <f>IF(AND(بيانات!$B133&lt;&gt;"",بيانات!$G133="أنثى",بيانات!$H133&gt;=13),COUNTA($V$3:V133),"")</f>
        <v/>
      </c>
    </row>
    <row r="134">
      <c r="S134">
        <f>IF(AND(بيانات!$B134&lt;&gt;"",بيانات!$G134="ذكر",بيانات!$H134&lt;13),COUNTA($S$3:S134),"")</f>
        <v/>
      </c>
      <c r="T134">
        <f>IF(AND(بيانات!$B134&lt;&gt;"",بيانات!$G134="أنثى",بيانات!$H134&lt;13),COUNTA($T$3:T134),"")</f>
        <v/>
      </c>
      <c r="U134">
        <f>IF(AND(بيانات!$B134&lt;&gt;"",بيانات!$G134="ذكر",بيانات!$H134&gt;=13),COUNTA($U$3:U134),"")</f>
        <v/>
      </c>
      <c r="V134">
        <f>IF(AND(بيانات!$B134&lt;&gt;"",بيانات!$G134="أنثى",بيانات!$H134&gt;=13),COUNTA($V$3:V134),"")</f>
        <v/>
      </c>
    </row>
    <row r="135">
      <c r="S135">
        <f>IF(AND(بيانات!$B135&lt;&gt;"",بيانات!$G135="ذكر",بيانات!$H135&lt;13),COUNTA($S$3:S135),"")</f>
        <v/>
      </c>
      <c r="T135">
        <f>IF(AND(بيانات!$B135&lt;&gt;"",بيانات!$G135="أنثى",بيانات!$H135&lt;13),COUNTA($T$3:T135),"")</f>
        <v/>
      </c>
      <c r="U135">
        <f>IF(AND(بيانات!$B135&lt;&gt;"",بيانات!$G135="ذكر",بيانات!$H135&gt;=13),COUNTA($U$3:U135),"")</f>
        <v/>
      </c>
      <c r="V135">
        <f>IF(AND(بيانات!$B135&lt;&gt;"",بيانات!$G135="أنثى",بيانات!$H135&gt;=13),COUNTA($V$3:V135),"")</f>
        <v/>
      </c>
    </row>
    <row r="136">
      <c r="S136">
        <f>IF(AND(بيانات!$B136&lt;&gt;"",بيانات!$G136="ذكر",بيانات!$H136&lt;13),COUNTA($S$3:S136),"")</f>
        <v/>
      </c>
      <c r="T136">
        <f>IF(AND(بيانات!$B136&lt;&gt;"",بيانات!$G136="أنثى",بيانات!$H136&lt;13),COUNTA($T$3:T136),"")</f>
        <v/>
      </c>
      <c r="U136">
        <f>IF(AND(بيانات!$B136&lt;&gt;"",بيانات!$G136="ذكر",بيانات!$H136&gt;=13),COUNTA($U$3:U136),"")</f>
        <v/>
      </c>
      <c r="V136">
        <f>IF(AND(بيانات!$B136&lt;&gt;"",بيانات!$G136="أنثى",بيانات!$H136&gt;=13),COUNTA($V$3:V136),"")</f>
        <v/>
      </c>
    </row>
    <row r="137">
      <c r="S137">
        <f>IF(AND(بيانات!$B137&lt;&gt;"",بيانات!$G137="ذكر",بيانات!$H137&lt;13),COUNTA($S$3:S137),"")</f>
        <v/>
      </c>
      <c r="T137">
        <f>IF(AND(بيانات!$B137&lt;&gt;"",بيانات!$G137="أنثى",بيانات!$H137&lt;13),COUNTA($T$3:T137),"")</f>
        <v/>
      </c>
      <c r="U137">
        <f>IF(AND(بيانات!$B137&lt;&gt;"",بيانات!$G137="ذكر",بيانات!$H137&gt;=13),COUNTA($U$3:U137),"")</f>
        <v/>
      </c>
      <c r="V137">
        <f>IF(AND(بيانات!$B137&lt;&gt;"",بيانات!$G137="أنثى",بيانات!$H137&gt;=13),COUNTA($V$3:V137),"")</f>
        <v/>
      </c>
    </row>
    <row r="138">
      <c r="S138">
        <f>IF(AND(بيانات!$B138&lt;&gt;"",بيانات!$G138="ذكر",بيانات!$H138&lt;13),COUNTA($S$3:S138),"")</f>
        <v/>
      </c>
      <c r="T138">
        <f>IF(AND(بيانات!$B138&lt;&gt;"",بيانات!$G138="أنثى",بيانات!$H138&lt;13),COUNTA($T$3:T138),"")</f>
        <v/>
      </c>
      <c r="U138">
        <f>IF(AND(بيانات!$B138&lt;&gt;"",بيانات!$G138="ذكر",بيانات!$H138&gt;=13),COUNTA($U$3:U138),"")</f>
        <v/>
      </c>
      <c r="V138">
        <f>IF(AND(بيانات!$B138&lt;&gt;"",بيانات!$G138="أنثى",بيانات!$H138&gt;=13),COUNTA($V$3:V138),"")</f>
        <v/>
      </c>
    </row>
    <row r="139">
      <c r="S139">
        <f>IF(AND(بيانات!$B139&lt;&gt;"",بيانات!$G139="ذكر",بيانات!$H139&lt;13),COUNTA($S$3:S139),"")</f>
        <v/>
      </c>
      <c r="T139">
        <f>IF(AND(بيانات!$B139&lt;&gt;"",بيانات!$G139="أنثى",بيانات!$H139&lt;13),COUNTA($T$3:T139),"")</f>
        <v/>
      </c>
      <c r="U139">
        <f>IF(AND(بيانات!$B139&lt;&gt;"",بيانات!$G139="ذكر",بيانات!$H139&gt;=13),COUNTA($U$3:U139),"")</f>
        <v/>
      </c>
      <c r="V139">
        <f>IF(AND(بيانات!$B139&lt;&gt;"",بيانات!$G139="أنثى",بيانات!$H139&gt;=13),COUNTA($V$3:V139),"")</f>
        <v/>
      </c>
    </row>
    <row r="140">
      <c r="S140">
        <f>IF(AND(بيانات!$B140&lt;&gt;"",بيانات!$G140="ذكر",بيانات!$H140&lt;13),COUNTA($S$3:S140),"")</f>
        <v/>
      </c>
      <c r="T140">
        <f>IF(AND(بيانات!$B140&lt;&gt;"",بيانات!$G140="أنثى",بيانات!$H140&lt;13),COUNTA($T$3:T140),"")</f>
        <v/>
      </c>
      <c r="U140">
        <f>IF(AND(بيانات!$B140&lt;&gt;"",بيانات!$G140="ذكر",بيانات!$H140&gt;=13),COUNTA($U$3:U140),"")</f>
        <v/>
      </c>
      <c r="V140">
        <f>IF(AND(بيانات!$B140&lt;&gt;"",بيانات!$G140="أنثى",بيانات!$H140&gt;=13),COUNTA($V$3:V140),"")</f>
        <v/>
      </c>
    </row>
    <row r="141">
      <c r="S141">
        <f>IF(AND(بيانات!$B141&lt;&gt;"",بيانات!$G141="ذكر",بيانات!$H141&lt;13),COUNTA($S$3:S141),"")</f>
        <v/>
      </c>
      <c r="T141">
        <f>IF(AND(بيانات!$B141&lt;&gt;"",بيانات!$G141="أنثى",بيانات!$H141&lt;13),COUNTA($T$3:T141),"")</f>
        <v/>
      </c>
      <c r="U141">
        <f>IF(AND(بيانات!$B141&lt;&gt;"",بيانات!$G141="ذكر",بيانات!$H141&gt;=13),COUNTA($U$3:U141),"")</f>
        <v/>
      </c>
      <c r="V141">
        <f>IF(AND(بيانات!$B141&lt;&gt;"",بيانات!$G141="أنثى",بيانات!$H141&gt;=13),COUNTA($V$3:V141),"")</f>
        <v/>
      </c>
    </row>
    <row r="142">
      <c r="S142">
        <f>IF(AND(بيانات!$B142&lt;&gt;"",بيانات!$G142="ذكر",بيانات!$H142&lt;13),COUNTA($S$3:S142),"")</f>
        <v/>
      </c>
      <c r="T142">
        <f>IF(AND(بيانات!$B142&lt;&gt;"",بيانات!$G142="أنثى",بيانات!$H142&lt;13),COUNTA($T$3:T142),"")</f>
        <v/>
      </c>
      <c r="U142">
        <f>IF(AND(بيانات!$B142&lt;&gt;"",بيانات!$G142="ذكر",بيانات!$H142&gt;=13),COUNTA($U$3:U142),"")</f>
        <v/>
      </c>
      <c r="V142">
        <f>IF(AND(بيانات!$B142&lt;&gt;"",بيانات!$G142="أنثى",بيانات!$H142&gt;=13),COUNTA($V$3:V142),"")</f>
        <v/>
      </c>
    </row>
    <row r="143">
      <c r="S143">
        <f>IF(AND(بيانات!$B143&lt;&gt;"",بيانات!$G143="ذكر",بيانات!$H143&lt;13),COUNTA($S$3:S143),"")</f>
        <v/>
      </c>
      <c r="T143">
        <f>IF(AND(بيانات!$B143&lt;&gt;"",بيانات!$G143="أنثى",بيانات!$H143&lt;13),COUNTA($T$3:T143),"")</f>
        <v/>
      </c>
      <c r="U143">
        <f>IF(AND(بيانات!$B143&lt;&gt;"",بيانات!$G143="ذكر",بيانات!$H143&gt;=13),COUNTA($U$3:U143),"")</f>
        <v/>
      </c>
      <c r="V143">
        <f>IF(AND(بيانات!$B143&lt;&gt;"",بيانات!$G143="أنثى",بيانات!$H143&gt;=13),COUNTA($V$3:V143),"")</f>
        <v/>
      </c>
    </row>
    <row r="144">
      <c r="S144">
        <f>IF(AND(بيانات!$B144&lt;&gt;"",بيانات!$G144="ذكر",بيانات!$H144&lt;13),COUNTA($S$3:S144),"")</f>
        <v/>
      </c>
      <c r="T144">
        <f>IF(AND(بيانات!$B144&lt;&gt;"",بيانات!$G144="أنثى",بيانات!$H144&lt;13),COUNTA($T$3:T144),"")</f>
        <v/>
      </c>
      <c r="U144">
        <f>IF(AND(بيانات!$B144&lt;&gt;"",بيانات!$G144="ذكر",بيانات!$H144&gt;=13),COUNTA($U$3:U144),"")</f>
        <v/>
      </c>
      <c r="V144">
        <f>IF(AND(بيانات!$B144&lt;&gt;"",بيانات!$G144="أنثى",بيانات!$H144&gt;=13),COUNTA($V$3:V144),"")</f>
        <v/>
      </c>
    </row>
    <row r="145">
      <c r="S145">
        <f>IF(AND(بيانات!$B145&lt;&gt;"",بيانات!$G145="ذكر",بيانات!$H145&lt;13),COUNTA($S$3:S145),"")</f>
        <v/>
      </c>
      <c r="T145">
        <f>IF(AND(بيانات!$B145&lt;&gt;"",بيانات!$G145="أنثى",بيانات!$H145&lt;13),COUNTA($T$3:T145),"")</f>
        <v/>
      </c>
      <c r="U145">
        <f>IF(AND(بيانات!$B145&lt;&gt;"",بيانات!$G145="ذكر",بيانات!$H145&gt;=13),COUNTA($U$3:U145),"")</f>
        <v/>
      </c>
      <c r="V145">
        <f>IF(AND(بيانات!$B145&lt;&gt;"",بيانات!$G145="أنثى",بيانات!$H145&gt;=13),COUNTA($V$3:V145),"")</f>
        <v/>
      </c>
    </row>
    <row r="146">
      <c r="S146">
        <f>IF(AND(بيانات!$B146&lt;&gt;"",بيانات!$G146="ذكر",بيانات!$H146&lt;13),COUNTA($S$3:S146),"")</f>
        <v/>
      </c>
      <c r="T146">
        <f>IF(AND(بيانات!$B146&lt;&gt;"",بيانات!$G146="أنثى",بيانات!$H146&lt;13),COUNTA($T$3:T146),"")</f>
        <v/>
      </c>
      <c r="U146">
        <f>IF(AND(بيانات!$B146&lt;&gt;"",بيانات!$G146="ذكر",بيانات!$H146&gt;=13),COUNTA($U$3:U146),"")</f>
        <v/>
      </c>
      <c r="V146">
        <f>IF(AND(بيانات!$B146&lt;&gt;"",بيانات!$G146="أنثى",بيانات!$H146&gt;=13),COUNTA($V$3:V146),"")</f>
        <v/>
      </c>
    </row>
    <row r="147">
      <c r="S147">
        <f>IF(AND(بيانات!$B147&lt;&gt;"",بيانات!$G147="ذكر",بيانات!$H147&lt;13),COUNTA($S$3:S147),"")</f>
        <v/>
      </c>
      <c r="T147">
        <f>IF(AND(بيانات!$B147&lt;&gt;"",بيانات!$G147="أنثى",بيانات!$H147&lt;13),COUNTA($T$3:T147),"")</f>
        <v/>
      </c>
      <c r="U147">
        <f>IF(AND(بيانات!$B147&lt;&gt;"",بيانات!$G147="ذكر",بيانات!$H147&gt;=13),COUNTA($U$3:U147),"")</f>
        <v/>
      </c>
      <c r="V147">
        <f>IF(AND(بيانات!$B147&lt;&gt;"",بيانات!$G147="أنثى",بيانات!$H147&gt;=13),COUNTA($V$3:V147),"")</f>
        <v/>
      </c>
    </row>
    <row r="148">
      <c r="S148">
        <f>IF(AND(بيانات!$B148&lt;&gt;"",بيانات!$G148="ذكر",بيانات!$H148&lt;13),COUNTA($S$3:S148),"")</f>
        <v/>
      </c>
      <c r="T148">
        <f>IF(AND(بيانات!$B148&lt;&gt;"",بيانات!$G148="أنثى",بيانات!$H148&lt;13),COUNTA($T$3:T148),"")</f>
        <v/>
      </c>
      <c r="U148">
        <f>IF(AND(بيانات!$B148&lt;&gt;"",بيانات!$G148="ذكر",بيانات!$H148&gt;=13),COUNTA($U$3:U148),"")</f>
        <v/>
      </c>
      <c r="V148">
        <f>IF(AND(بيانات!$B148&lt;&gt;"",بيانات!$G148="أنثى",بيانات!$H148&gt;=13),COUNTA($V$3:V148),"")</f>
        <v/>
      </c>
    </row>
    <row r="149">
      <c r="S149">
        <f>IF(AND(بيانات!$B149&lt;&gt;"",بيانات!$G149="ذكر",بيانات!$H149&lt;13),COUNTA($S$3:S149),"")</f>
        <v/>
      </c>
      <c r="T149">
        <f>IF(AND(بيانات!$B149&lt;&gt;"",بيانات!$G149="أنثى",بيانات!$H149&lt;13),COUNTA($T$3:T149),"")</f>
        <v/>
      </c>
      <c r="U149">
        <f>IF(AND(بيانات!$B149&lt;&gt;"",بيانات!$G149="ذكر",بيانات!$H149&gt;=13),COUNTA($U$3:U149),"")</f>
        <v/>
      </c>
      <c r="V149">
        <f>IF(AND(بيانات!$B149&lt;&gt;"",بيانات!$G149="أنثى",بيانات!$H149&gt;=13),COUNTA($V$3:V149),"")</f>
        <v/>
      </c>
    </row>
    <row r="150">
      <c r="S150">
        <f>IF(AND(بيانات!$B150&lt;&gt;"",بيانات!$G150="ذكر",بيانات!$H150&lt;13),COUNTA($S$3:S150),"")</f>
        <v/>
      </c>
      <c r="T150">
        <f>IF(AND(بيانات!$B150&lt;&gt;"",بيانات!$G150="أنثى",بيانات!$H150&lt;13),COUNTA($T$3:T150),"")</f>
        <v/>
      </c>
      <c r="U150">
        <f>IF(AND(بيانات!$B150&lt;&gt;"",بيانات!$G150="ذكر",بيانات!$H150&gt;=13),COUNTA($U$3:U150),"")</f>
        <v/>
      </c>
      <c r="V150">
        <f>IF(AND(بيانات!$B150&lt;&gt;"",بيانات!$G150="أنثى",بيانات!$H150&gt;=13),COUNTA($V$3:V150),"")</f>
        <v/>
      </c>
    </row>
    <row r="151">
      <c r="S151">
        <f>IF(AND(بيانات!$B151&lt;&gt;"",بيانات!$G151="ذكر",بيانات!$H151&lt;13),COUNTA($S$3:S151),"")</f>
        <v/>
      </c>
      <c r="T151">
        <f>IF(AND(بيانات!$B151&lt;&gt;"",بيانات!$G151="أنثى",بيانات!$H151&lt;13),COUNTA($T$3:T151),"")</f>
        <v/>
      </c>
      <c r="U151">
        <f>IF(AND(بيانات!$B151&lt;&gt;"",بيانات!$G151="ذكر",بيانات!$H151&gt;=13),COUNTA($U$3:U151),"")</f>
        <v/>
      </c>
      <c r="V151">
        <f>IF(AND(بيانات!$B151&lt;&gt;"",بيانات!$G151="أنثى",بيانات!$H151&gt;=13),COUNTA($V$3:V151),"")</f>
        <v/>
      </c>
    </row>
    <row r="152">
      <c r="S152">
        <f>IF(AND(بيانات!$B152&lt;&gt;"",بيانات!$G152="ذكر",بيانات!$H152&lt;13),COUNTA($S$3:S152),"")</f>
        <v/>
      </c>
      <c r="T152">
        <f>IF(AND(بيانات!$B152&lt;&gt;"",بيانات!$G152="أنثى",بيانات!$H152&lt;13),COUNTA($T$3:T152),"")</f>
        <v/>
      </c>
      <c r="U152">
        <f>IF(AND(بيانات!$B152&lt;&gt;"",بيانات!$G152="ذكر",بيانات!$H152&gt;=13),COUNTA($U$3:U152),"")</f>
        <v/>
      </c>
      <c r="V152">
        <f>IF(AND(بيانات!$B152&lt;&gt;"",بيانات!$G152="أنثى",بيانات!$H152&gt;=13),COUNTA($V$3:V152),"")</f>
        <v/>
      </c>
    </row>
    <row r="153">
      <c r="S153">
        <f>IF(AND(بيانات!$B153&lt;&gt;"",بيانات!$G153="ذكر",بيانات!$H153&lt;13),COUNTA($S$3:S153),"")</f>
        <v/>
      </c>
      <c r="T153">
        <f>IF(AND(بيانات!$B153&lt;&gt;"",بيانات!$G153="أنثى",بيانات!$H153&lt;13),COUNTA($T$3:T153),"")</f>
        <v/>
      </c>
      <c r="U153">
        <f>IF(AND(بيانات!$B153&lt;&gt;"",بيانات!$G153="ذكر",بيانات!$H153&gt;=13),COUNTA($U$3:U153),"")</f>
        <v/>
      </c>
      <c r="V153">
        <f>IF(AND(بيانات!$B153&lt;&gt;"",بيانات!$G153="أنثى",بيانات!$H153&gt;=13),COUNTA($V$3:V153),"")</f>
        <v/>
      </c>
    </row>
    <row r="154">
      <c r="S154">
        <f>IF(AND(بيانات!$B154&lt;&gt;"",بيانات!$G154="ذكر",بيانات!$H154&lt;13),COUNTA($S$3:S154),"")</f>
        <v/>
      </c>
      <c r="T154">
        <f>IF(AND(بيانات!$B154&lt;&gt;"",بيانات!$G154="أنثى",بيانات!$H154&lt;13),COUNTA($T$3:T154),"")</f>
        <v/>
      </c>
      <c r="U154">
        <f>IF(AND(بيانات!$B154&lt;&gt;"",بيانات!$G154="ذكر",بيانات!$H154&gt;=13),COUNTA($U$3:U154),"")</f>
        <v/>
      </c>
      <c r="V154">
        <f>IF(AND(بيانات!$B154&lt;&gt;"",بيانات!$G154="أنثى",بيانات!$H154&gt;=13),COUNTA($V$3:V154),"")</f>
        <v/>
      </c>
    </row>
    <row r="155">
      <c r="S155">
        <f>IF(AND(بيانات!$B155&lt;&gt;"",بيانات!$G155="ذكر",بيانات!$H155&lt;13),COUNTA($S$3:S155),"")</f>
        <v/>
      </c>
      <c r="T155">
        <f>IF(AND(بيانات!$B155&lt;&gt;"",بيانات!$G155="أنثى",بيانات!$H155&lt;13),COUNTA($T$3:T155),"")</f>
        <v/>
      </c>
      <c r="U155">
        <f>IF(AND(بيانات!$B155&lt;&gt;"",بيانات!$G155="ذكر",بيانات!$H155&gt;=13),COUNTA($U$3:U155),"")</f>
        <v/>
      </c>
      <c r="V155">
        <f>IF(AND(بيانات!$B155&lt;&gt;"",بيانات!$G155="أنثى",بيانات!$H155&gt;=13),COUNTA($V$3:V155),"")</f>
        <v/>
      </c>
    </row>
    <row r="156">
      <c r="S156">
        <f>IF(AND(بيانات!$B156&lt;&gt;"",بيانات!$G156="ذكر",بيانات!$H156&lt;13),COUNTA($S$3:S156),"")</f>
        <v/>
      </c>
      <c r="T156">
        <f>IF(AND(بيانات!$B156&lt;&gt;"",بيانات!$G156="أنثى",بيانات!$H156&lt;13),COUNTA($T$3:T156),"")</f>
        <v/>
      </c>
      <c r="U156">
        <f>IF(AND(بيانات!$B156&lt;&gt;"",بيانات!$G156="ذكر",بيانات!$H156&gt;=13),COUNTA($U$3:U156),"")</f>
        <v/>
      </c>
      <c r="V156">
        <f>IF(AND(بيانات!$B156&lt;&gt;"",بيانات!$G156="أنثى",بيانات!$H156&gt;=13),COUNTA($V$3:V156),"")</f>
        <v/>
      </c>
    </row>
    <row r="157">
      <c r="S157">
        <f>IF(AND(بيانات!$B157&lt;&gt;"",بيانات!$G157="ذكر",بيانات!$H157&lt;13),COUNTA($S$3:S157),"")</f>
        <v/>
      </c>
      <c r="T157">
        <f>IF(AND(بيانات!$B157&lt;&gt;"",بيانات!$G157="أنثى",بيانات!$H157&lt;13),COUNTA($T$3:T157),"")</f>
        <v/>
      </c>
      <c r="U157">
        <f>IF(AND(بيانات!$B157&lt;&gt;"",بيانات!$G157="ذكر",بيانات!$H157&gt;=13),COUNTA($U$3:U157),"")</f>
        <v/>
      </c>
      <c r="V157">
        <f>IF(AND(بيانات!$B157&lt;&gt;"",بيانات!$G157="أنثى",بيانات!$H157&gt;=13),COUNTA($V$3:V157),"")</f>
        <v/>
      </c>
    </row>
    <row r="158">
      <c r="S158">
        <f>IF(AND(بيانات!$B158&lt;&gt;"",بيانات!$G158="ذكر",بيانات!$H158&lt;13),COUNTA($S$3:S158),"")</f>
        <v/>
      </c>
      <c r="T158">
        <f>IF(AND(بيانات!$B158&lt;&gt;"",بيانات!$G158="أنثى",بيانات!$H158&lt;13),COUNTA($T$3:T158),"")</f>
        <v/>
      </c>
      <c r="U158">
        <f>IF(AND(بيانات!$B158&lt;&gt;"",بيانات!$G158="ذكر",بيانات!$H158&gt;=13),COUNTA($U$3:U158),"")</f>
        <v/>
      </c>
      <c r="V158">
        <f>IF(AND(بيانات!$B158&lt;&gt;"",بيانات!$G158="أنثى",بيانات!$H158&gt;=13),COUNTA($V$3:V158),"")</f>
        <v/>
      </c>
    </row>
    <row r="159">
      <c r="S159">
        <f>IF(AND(بيانات!$B159&lt;&gt;"",بيانات!$G159="ذكر",بيانات!$H159&lt;13),COUNTA($S$3:S159),"")</f>
        <v/>
      </c>
      <c r="T159">
        <f>IF(AND(بيانات!$B159&lt;&gt;"",بيانات!$G159="أنثى",بيانات!$H159&lt;13),COUNTA($T$3:T159),"")</f>
        <v/>
      </c>
      <c r="U159">
        <f>IF(AND(بيانات!$B159&lt;&gt;"",بيانات!$G159="ذكر",بيانات!$H159&gt;=13),COUNTA($U$3:U159),"")</f>
        <v/>
      </c>
      <c r="V159">
        <f>IF(AND(بيانات!$B159&lt;&gt;"",بيانات!$G159="أنثى",بيانات!$H159&gt;=13),COUNTA($V$3:V159),"")</f>
        <v/>
      </c>
    </row>
    <row r="160">
      <c r="S160">
        <f>IF(AND(بيانات!$B160&lt;&gt;"",بيانات!$G160="ذكر",بيانات!$H160&lt;13),COUNTA($S$3:S160),"")</f>
        <v/>
      </c>
      <c r="T160">
        <f>IF(AND(بيانات!$B160&lt;&gt;"",بيانات!$G160="أنثى",بيانات!$H160&lt;13),COUNTA($T$3:T160),"")</f>
        <v/>
      </c>
      <c r="U160">
        <f>IF(AND(بيانات!$B160&lt;&gt;"",بيانات!$G160="ذكر",بيانات!$H160&gt;=13),COUNTA($U$3:U160),"")</f>
        <v/>
      </c>
      <c r="V160">
        <f>IF(AND(بيانات!$B160&lt;&gt;"",بيانات!$G160="أنثى",بيانات!$H160&gt;=13),COUNTA($V$3:V160),"")</f>
        <v/>
      </c>
    </row>
    <row r="161">
      <c r="S161">
        <f>IF(AND(بيانات!$B161&lt;&gt;"",بيانات!$G161="ذكر",بيانات!$H161&lt;13),COUNTA($S$3:S161),"")</f>
        <v/>
      </c>
      <c r="T161">
        <f>IF(AND(بيانات!$B161&lt;&gt;"",بيانات!$G161="أنثى",بيانات!$H161&lt;13),COUNTA($T$3:T161),"")</f>
        <v/>
      </c>
      <c r="U161">
        <f>IF(AND(بيانات!$B161&lt;&gt;"",بيانات!$G161="ذكر",بيانات!$H161&gt;=13),COUNTA($U$3:U161),"")</f>
        <v/>
      </c>
      <c r="V161">
        <f>IF(AND(بيانات!$B161&lt;&gt;"",بيانات!$G161="أنثى",بيانات!$H161&gt;=13),COUNTA($V$3:V161),"")</f>
        <v/>
      </c>
    </row>
    <row r="162">
      <c r="S162">
        <f>IF(AND(بيانات!$B162&lt;&gt;"",بيانات!$G162="ذكر",بيانات!$H162&lt;13),COUNTA($S$3:S162),"")</f>
        <v/>
      </c>
      <c r="T162">
        <f>IF(AND(بيانات!$B162&lt;&gt;"",بيانات!$G162="أنثى",بيانات!$H162&lt;13),COUNTA($T$3:T162),"")</f>
        <v/>
      </c>
      <c r="U162">
        <f>IF(AND(بيانات!$B162&lt;&gt;"",بيانات!$G162="ذكر",بيانات!$H162&gt;=13),COUNTA($U$3:U162),"")</f>
        <v/>
      </c>
      <c r="V162">
        <f>IF(AND(بيانات!$B162&lt;&gt;"",بيانات!$G162="أنثى",بيانات!$H162&gt;=13),COUNTA($V$3:V162),"")</f>
        <v/>
      </c>
    </row>
    <row r="163">
      <c r="S163">
        <f>IF(AND(بيانات!$B163&lt;&gt;"",بيانات!$G163="ذكر",بيانات!$H163&lt;13),COUNTA($S$3:S163),"")</f>
        <v/>
      </c>
      <c r="T163">
        <f>IF(AND(بيانات!$B163&lt;&gt;"",بيانات!$G163="أنثى",بيانات!$H163&lt;13),COUNTA($T$3:T163),"")</f>
        <v/>
      </c>
      <c r="U163">
        <f>IF(AND(بيانات!$B163&lt;&gt;"",بيانات!$G163="ذكر",بيانات!$H163&gt;=13),COUNTA($U$3:U163),"")</f>
        <v/>
      </c>
      <c r="V163">
        <f>IF(AND(بيانات!$B163&lt;&gt;"",بيانات!$G163="أنثى",بيانات!$H163&gt;=13),COUNTA($V$3:V163),"")</f>
        <v/>
      </c>
    </row>
    <row r="164">
      <c r="S164">
        <f>IF(AND(بيانات!$B164&lt;&gt;"",بيانات!$G164="ذكر",بيانات!$H164&lt;13),COUNTA($S$3:S164),"")</f>
        <v/>
      </c>
      <c r="T164">
        <f>IF(AND(بيانات!$B164&lt;&gt;"",بيانات!$G164="أنثى",بيانات!$H164&lt;13),COUNTA($T$3:T164),"")</f>
        <v/>
      </c>
      <c r="U164">
        <f>IF(AND(بيانات!$B164&lt;&gt;"",بيانات!$G164="ذكر",بيانات!$H164&gt;=13),COUNTA($U$3:U164),"")</f>
        <v/>
      </c>
      <c r="V164">
        <f>IF(AND(بيانات!$B164&lt;&gt;"",بيانات!$G164="أنثى",بيانات!$H164&gt;=13),COUNTA($V$3:V164),"")</f>
        <v/>
      </c>
    </row>
    <row r="165">
      <c r="S165">
        <f>IF(AND(بيانات!$B165&lt;&gt;"",بيانات!$G165="ذكر",بيانات!$H165&lt;13),COUNTA($S$3:S165),"")</f>
        <v/>
      </c>
      <c r="T165">
        <f>IF(AND(بيانات!$B165&lt;&gt;"",بيانات!$G165="أنثى",بيانات!$H165&lt;13),COUNTA($T$3:T165),"")</f>
        <v/>
      </c>
      <c r="U165">
        <f>IF(AND(بيانات!$B165&lt;&gt;"",بيانات!$G165="ذكر",بيانات!$H165&gt;=13),COUNTA($U$3:U165),"")</f>
        <v/>
      </c>
      <c r="V165">
        <f>IF(AND(بيانات!$B165&lt;&gt;"",بيانات!$G165="أنثى",بيانات!$H165&gt;=13),COUNTA($V$3:V165),"")</f>
        <v/>
      </c>
    </row>
    <row r="166">
      <c r="S166">
        <f>IF(AND(بيانات!$B166&lt;&gt;"",بيانات!$G166="ذكر",بيانات!$H166&lt;13),COUNTA($S$3:S166),"")</f>
        <v/>
      </c>
      <c r="T166">
        <f>IF(AND(بيانات!$B166&lt;&gt;"",بيانات!$G166="أنثى",بيانات!$H166&lt;13),COUNTA($T$3:T166),"")</f>
        <v/>
      </c>
      <c r="U166">
        <f>IF(AND(بيانات!$B166&lt;&gt;"",بيانات!$G166="ذكر",بيانات!$H166&gt;=13),COUNTA($U$3:U166),"")</f>
        <v/>
      </c>
      <c r="V166">
        <f>IF(AND(بيانات!$B166&lt;&gt;"",بيانات!$G166="أنثى",بيانات!$H166&gt;=13),COUNTA($V$3:V166),"")</f>
        <v/>
      </c>
    </row>
    <row r="167">
      <c r="S167">
        <f>IF(AND(بيانات!$B167&lt;&gt;"",بيانات!$G167="ذكر",بيانات!$H167&lt;13),COUNTA($S$3:S167),"")</f>
        <v/>
      </c>
      <c r="T167">
        <f>IF(AND(بيانات!$B167&lt;&gt;"",بيانات!$G167="أنثى",بيانات!$H167&lt;13),COUNTA($T$3:T167),"")</f>
        <v/>
      </c>
      <c r="U167">
        <f>IF(AND(بيانات!$B167&lt;&gt;"",بيانات!$G167="ذكر",بيانات!$H167&gt;=13),COUNTA($U$3:U167),"")</f>
        <v/>
      </c>
      <c r="V167">
        <f>IF(AND(بيانات!$B167&lt;&gt;"",بيانات!$G167="أنثى",بيانات!$H167&gt;=13),COUNTA($V$3:V167),"")</f>
        <v/>
      </c>
    </row>
    <row r="168">
      <c r="S168">
        <f>IF(AND(بيانات!$B168&lt;&gt;"",بيانات!$G168="ذكر",بيانات!$H168&lt;13),COUNTA($S$3:S168),"")</f>
        <v/>
      </c>
      <c r="T168">
        <f>IF(AND(بيانات!$B168&lt;&gt;"",بيانات!$G168="أنثى",بيانات!$H168&lt;13),COUNTA($T$3:T168),"")</f>
        <v/>
      </c>
      <c r="U168">
        <f>IF(AND(بيانات!$B168&lt;&gt;"",بيانات!$G168="ذكر",بيانات!$H168&gt;=13),COUNTA($U$3:U168),"")</f>
        <v/>
      </c>
      <c r="V168">
        <f>IF(AND(بيانات!$B168&lt;&gt;"",بيانات!$G168="أنثى",بيانات!$H168&gt;=13),COUNTA($V$3:V168),"")</f>
        <v/>
      </c>
    </row>
    <row r="169">
      <c r="S169">
        <f>IF(AND(بيانات!$B169&lt;&gt;"",بيانات!$G169="ذكر",بيانات!$H169&lt;13),COUNTA($S$3:S169),"")</f>
        <v/>
      </c>
      <c r="T169">
        <f>IF(AND(بيانات!$B169&lt;&gt;"",بيانات!$G169="أنثى",بيانات!$H169&lt;13),COUNTA($T$3:T169),"")</f>
        <v/>
      </c>
      <c r="U169">
        <f>IF(AND(بيانات!$B169&lt;&gt;"",بيانات!$G169="ذكر",بيانات!$H169&gt;=13),COUNTA($U$3:U169),"")</f>
        <v/>
      </c>
      <c r="V169">
        <f>IF(AND(بيانات!$B169&lt;&gt;"",بيانات!$G169="أنثى",بيانات!$H169&gt;=13),COUNTA($V$3:V169),"")</f>
        <v/>
      </c>
    </row>
    <row r="170">
      <c r="S170">
        <f>IF(AND(بيانات!$B170&lt;&gt;"",بيانات!$G170="ذكر",بيانات!$H170&lt;13),COUNTA($S$3:S170),"")</f>
        <v/>
      </c>
      <c r="T170">
        <f>IF(AND(بيانات!$B170&lt;&gt;"",بيانات!$G170="أنثى",بيانات!$H170&lt;13),COUNTA($T$3:T170),"")</f>
        <v/>
      </c>
      <c r="U170">
        <f>IF(AND(بيانات!$B170&lt;&gt;"",بيانات!$G170="ذكر",بيانات!$H170&gt;=13),COUNTA($U$3:U170),"")</f>
        <v/>
      </c>
      <c r="V170">
        <f>IF(AND(بيانات!$B170&lt;&gt;"",بيانات!$G170="أنثى",بيانات!$H170&gt;=13),COUNTA($V$3:V170),"")</f>
        <v/>
      </c>
    </row>
    <row r="171">
      <c r="S171">
        <f>IF(AND(بيانات!$B171&lt;&gt;"",بيانات!$G171="ذكر",بيانات!$H171&lt;13),COUNTA($S$3:S171),"")</f>
        <v/>
      </c>
      <c r="T171">
        <f>IF(AND(بيانات!$B171&lt;&gt;"",بيانات!$G171="أنثى",بيانات!$H171&lt;13),COUNTA($T$3:T171),"")</f>
        <v/>
      </c>
      <c r="U171">
        <f>IF(AND(بيانات!$B171&lt;&gt;"",بيانات!$G171="ذكر",بيانات!$H171&gt;=13),COUNTA($U$3:U171),"")</f>
        <v/>
      </c>
      <c r="V171">
        <f>IF(AND(بيانات!$B171&lt;&gt;"",بيانات!$G171="أنثى",بيانات!$H171&gt;=13),COUNTA($V$3:V171),"")</f>
        <v/>
      </c>
    </row>
    <row r="172">
      <c r="S172">
        <f>IF(AND(بيانات!$B172&lt;&gt;"",بيانات!$G172="ذكر",بيانات!$H172&lt;13),COUNTA($S$3:S172),"")</f>
        <v/>
      </c>
      <c r="T172">
        <f>IF(AND(بيانات!$B172&lt;&gt;"",بيانات!$G172="أنثى",بيانات!$H172&lt;13),COUNTA($T$3:T172),"")</f>
        <v/>
      </c>
      <c r="U172">
        <f>IF(AND(بيانات!$B172&lt;&gt;"",بيانات!$G172="ذكر",بيانات!$H172&gt;=13),COUNTA($U$3:U172),"")</f>
        <v/>
      </c>
      <c r="V172">
        <f>IF(AND(بيانات!$B172&lt;&gt;"",بيانات!$G172="أنثى",بيانات!$H172&gt;=13),COUNTA($V$3:V172),"")</f>
        <v/>
      </c>
    </row>
    <row r="173">
      <c r="S173">
        <f>IF(AND(بيانات!$B173&lt;&gt;"",بيانات!$G173="ذكر",بيانات!$H173&lt;13),COUNTA($S$3:S173),"")</f>
        <v/>
      </c>
      <c r="T173">
        <f>IF(AND(بيانات!$B173&lt;&gt;"",بيانات!$G173="أنثى",بيانات!$H173&lt;13),COUNTA($T$3:T173),"")</f>
        <v/>
      </c>
      <c r="U173">
        <f>IF(AND(بيانات!$B173&lt;&gt;"",بيانات!$G173="ذكر",بيانات!$H173&gt;=13),COUNTA($U$3:U173),"")</f>
        <v/>
      </c>
      <c r="V173">
        <f>IF(AND(بيانات!$B173&lt;&gt;"",بيانات!$G173="أنثى",بيانات!$H173&gt;=13),COUNTA($V$3:V173),"")</f>
        <v/>
      </c>
    </row>
    <row r="174">
      <c r="S174">
        <f>IF(AND(بيانات!$B174&lt;&gt;"",بيانات!$G174="ذكر",بيانات!$H174&lt;13),COUNTA($S$3:S174),"")</f>
        <v/>
      </c>
      <c r="T174">
        <f>IF(AND(بيانات!$B174&lt;&gt;"",بيانات!$G174="أنثى",بيانات!$H174&lt;13),COUNTA($T$3:T174),"")</f>
        <v/>
      </c>
      <c r="U174">
        <f>IF(AND(بيانات!$B174&lt;&gt;"",بيانات!$G174="ذكر",بيانات!$H174&gt;=13),COUNTA($U$3:U174),"")</f>
        <v/>
      </c>
      <c r="V174">
        <f>IF(AND(بيانات!$B174&lt;&gt;"",بيانات!$G174="أنثى",بيانات!$H174&gt;=13),COUNTA($V$3:V174),"")</f>
        <v/>
      </c>
    </row>
    <row r="175">
      <c r="S175">
        <f>IF(AND(بيانات!$B175&lt;&gt;"",بيانات!$G175="ذكر",بيانات!$H175&lt;13),COUNTA($S$3:S175),"")</f>
        <v/>
      </c>
      <c r="T175">
        <f>IF(AND(بيانات!$B175&lt;&gt;"",بيانات!$G175="أنثى",بيانات!$H175&lt;13),COUNTA($T$3:T175),"")</f>
        <v/>
      </c>
      <c r="U175">
        <f>IF(AND(بيانات!$B175&lt;&gt;"",بيانات!$G175="ذكر",بيانات!$H175&gt;=13),COUNTA($U$3:U175),"")</f>
        <v/>
      </c>
      <c r="V175">
        <f>IF(AND(بيانات!$B175&lt;&gt;"",بيانات!$G175="أنثى",بيانات!$H175&gt;=13),COUNTA($V$3:V175),"")</f>
        <v/>
      </c>
    </row>
    <row r="176">
      <c r="S176">
        <f>IF(AND(بيانات!$B176&lt;&gt;"",بيانات!$G176="ذكر",بيانات!$H176&lt;13),COUNTA($S$3:S176),"")</f>
        <v/>
      </c>
      <c r="T176">
        <f>IF(AND(بيانات!$B176&lt;&gt;"",بيانات!$G176="أنثى",بيانات!$H176&lt;13),COUNTA($T$3:T176),"")</f>
        <v/>
      </c>
      <c r="U176">
        <f>IF(AND(بيانات!$B176&lt;&gt;"",بيانات!$G176="ذكر",بيانات!$H176&gt;=13),COUNTA($U$3:U176),"")</f>
        <v/>
      </c>
      <c r="V176">
        <f>IF(AND(بيانات!$B176&lt;&gt;"",بيانات!$G176="أنثى",بيانات!$H176&gt;=13),COUNTA($V$3:V176),"")</f>
        <v/>
      </c>
    </row>
    <row r="177">
      <c r="S177">
        <f>IF(AND(بيانات!$B177&lt;&gt;"",بيانات!$G177="ذكر",بيانات!$H177&lt;13),COUNTA($S$3:S177),"")</f>
        <v/>
      </c>
      <c r="T177">
        <f>IF(AND(بيانات!$B177&lt;&gt;"",بيانات!$G177="أنثى",بيانات!$H177&lt;13),COUNTA($T$3:T177),"")</f>
        <v/>
      </c>
      <c r="U177">
        <f>IF(AND(بيانات!$B177&lt;&gt;"",بيانات!$G177="ذكر",بيانات!$H177&gt;=13),COUNTA($U$3:U177),"")</f>
        <v/>
      </c>
      <c r="V177">
        <f>IF(AND(بيانات!$B177&lt;&gt;"",بيانات!$G177="أنثى",بيانات!$H177&gt;=13),COUNTA($V$3:V177),"")</f>
        <v/>
      </c>
    </row>
    <row r="178">
      <c r="S178">
        <f>IF(AND(بيانات!$B178&lt;&gt;"",بيانات!$G178="ذكر",بيانات!$H178&lt;13),COUNTA($S$3:S178),"")</f>
        <v/>
      </c>
      <c r="T178">
        <f>IF(AND(بيانات!$B178&lt;&gt;"",بيانات!$G178="أنثى",بيانات!$H178&lt;13),COUNTA($T$3:T178),"")</f>
        <v/>
      </c>
      <c r="U178">
        <f>IF(AND(بيانات!$B178&lt;&gt;"",بيانات!$G178="ذكر",بيانات!$H178&gt;=13),COUNTA($U$3:U178),"")</f>
        <v/>
      </c>
      <c r="V178">
        <f>IF(AND(بيانات!$B178&lt;&gt;"",بيانات!$G178="أنثى",بيانات!$H178&gt;=13),COUNTA($V$3:V178),"")</f>
        <v/>
      </c>
    </row>
    <row r="179">
      <c r="S179">
        <f>IF(AND(بيانات!$B179&lt;&gt;"",بيانات!$G179="ذكر",بيانات!$H179&lt;13),COUNTA($S$3:S179),"")</f>
        <v/>
      </c>
      <c r="T179">
        <f>IF(AND(بيانات!$B179&lt;&gt;"",بيانات!$G179="أنثى",بيانات!$H179&lt;13),COUNTA($T$3:T179),"")</f>
        <v/>
      </c>
      <c r="U179">
        <f>IF(AND(بيانات!$B179&lt;&gt;"",بيانات!$G179="ذكر",بيانات!$H179&gt;=13),COUNTA($U$3:U179),"")</f>
        <v/>
      </c>
      <c r="V179">
        <f>IF(AND(بيانات!$B179&lt;&gt;"",بيانات!$G179="أنثى",بيانات!$H179&gt;=13),COUNTA($V$3:V179),"")</f>
        <v/>
      </c>
    </row>
    <row r="180">
      <c r="S180">
        <f>IF(AND(بيانات!$B180&lt;&gt;"",بيانات!$G180="ذكر",بيانات!$H180&lt;13),COUNTA($S$3:S180),"")</f>
        <v/>
      </c>
      <c r="T180">
        <f>IF(AND(بيانات!$B180&lt;&gt;"",بيانات!$G180="أنثى",بيانات!$H180&lt;13),COUNTA($T$3:T180),"")</f>
        <v/>
      </c>
      <c r="U180">
        <f>IF(AND(بيانات!$B180&lt;&gt;"",بيانات!$G180="ذكر",بيانات!$H180&gt;=13),COUNTA($U$3:U180),"")</f>
        <v/>
      </c>
      <c r="V180">
        <f>IF(AND(بيانات!$B180&lt;&gt;"",بيانات!$G180="أنثى",بيانات!$H180&gt;=13),COUNTA($V$3:V180),"")</f>
        <v/>
      </c>
    </row>
    <row r="181">
      <c r="S181">
        <f>IF(AND(بيانات!$B181&lt;&gt;"",بيانات!$G181="ذكر",بيانات!$H181&lt;13),COUNTA($S$3:S181),"")</f>
        <v/>
      </c>
      <c r="T181">
        <f>IF(AND(بيانات!$B181&lt;&gt;"",بيانات!$G181="أنثى",بيانات!$H181&lt;13),COUNTA($T$3:T181),"")</f>
        <v/>
      </c>
      <c r="U181">
        <f>IF(AND(بيانات!$B181&lt;&gt;"",بيانات!$G181="ذكر",بيانات!$H181&gt;=13),COUNTA($U$3:U181),"")</f>
        <v/>
      </c>
      <c r="V181">
        <f>IF(AND(بيانات!$B181&lt;&gt;"",بيانات!$G181="أنثى",بيانات!$H181&gt;=13),COUNTA($V$3:V181),"")</f>
        <v/>
      </c>
    </row>
    <row r="182">
      <c r="S182">
        <f>IF(AND(بيانات!$B182&lt;&gt;"",بيانات!$G182="ذكر",بيانات!$H182&lt;13),COUNTA($S$3:S182),"")</f>
        <v/>
      </c>
      <c r="T182">
        <f>IF(AND(بيانات!$B182&lt;&gt;"",بيانات!$G182="أنثى",بيانات!$H182&lt;13),COUNTA($T$3:T182),"")</f>
        <v/>
      </c>
      <c r="U182">
        <f>IF(AND(بيانات!$B182&lt;&gt;"",بيانات!$G182="ذكر",بيانات!$H182&gt;=13),COUNTA($U$3:U182),"")</f>
        <v/>
      </c>
      <c r="V182">
        <f>IF(AND(بيانات!$B182&lt;&gt;"",بيانات!$G182="أنثى",بيانات!$H182&gt;=13),COUNTA($V$3:V182),"")</f>
        <v/>
      </c>
    </row>
    <row r="183">
      <c r="S183">
        <f>IF(AND(بيانات!$B183&lt;&gt;"",بيانات!$G183="ذكر",بيانات!$H183&lt;13),COUNTA($S$3:S183),"")</f>
        <v/>
      </c>
      <c r="T183">
        <f>IF(AND(بيانات!$B183&lt;&gt;"",بيانات!$G183="أنثى",بيانات!$H183&lt;13),COUNTA($T$3:T183),"")</f>
        <v/>
      </c>
      <c r="U183">
        <f>IF(AND(بيانات!$B183&lt;&gt;"",بيانات!$G183="ذكر",بيانات!$H183&gt;=13),COUNTA($U$3:U183),"")</f>
        <v/>
      </c>
      <c r="V183">
        <f>IF(AND(بيانات!$B183&lt;&gt;"",بيانات!$G183="أنثى",بيانات!$H183&gt;=13),COUNTA($V$3:V183),"")</f>
        <v/>
      </c>
    </row>
    <row r="184">
      <c r="S184">
        <f>IF(AND(بيانات!$B184&lt;&gt;"",بيانات!$G184="ذكر",بيانات!$H184&lt;13),COUNTA($S$3:S184),"")</f>
        <v/>
      </c>
      <c r="T184">
        <f>IF(AND(بيانات!$B184&lt;&gt;"",بيانات!$G184="أنثى",بيانات!$H184&lt;13),COUNTA($T$3:T184),"")</f>
        <v/>
      </c>
      <c r="U184">
        <f>IF(AND(بيانات!$B184&lt;&gt;"",بيانات!$G184="ذكر",بيانات!$H184&gt;=13),COUNTA($U$3:U184),"")</f>
        <v/>
      </c>
      <c r="V184">
        <f>IF(AND(بيانات!$B184&lt;&gt;"",بيانات!$G184="أنثى",بيانات!$H184&gt;=13),COUNTA($V$3:V184),"")</f>
        <v/>
      </c>
    </row>
    <row r="185">
      <c r="S185">
        <f>IF(AND(بيانات!$B185&lt;&gt;"",بيانات!$G185="ذكر",بيانات!$H185&lt;13),COUNTA($S$3:S185),"")</f>
        <v/>
      </c>
      <c r="T185">
        <f>IF(AND(بيانات!$B185&lt;&gt;"",بيانات!$G185="أنثى",بيانات!$H185&lt;13),COUNTA($T$3:T185),"")</f>
        <v/>
      </c>
      <c r="U185">
        <f>IF(AND(بيانات!$B185&lt;&gt;"",بيانات!$G185="ذكر",بيانات!$H185&gt;=13),COUNTA($U$3:U185),"")</f>
        <v/>
      </c>
      <c r="V185">
        <f>IF(AND(بيانات!$B185&lt;&gt;"",بيانات!$G185="أنثى",بيانات!$H185&gt;=13),COUNTA($V$3:V185),"")</f>
        <v/>
      </c>
    </row>
    <row r="186">
      <c r="S186">
        <f>IF(AND(بيانات!$B186&lt;&gt;"",بيانات!$G186="ذكر",بيانات!$H186&lt;13),COUNTA($S$3:S186),"")</f>
        <v/>
      </c>
      <c r="T186">
        <f>IF(AND(بيانات!$B186&lt;&gt;"",بيانات!$G186="أنثى",بيانات!$H186&lt;13),COUNTA($T$3:T186),"")</f>
        <v/>
      </c>
      <c r="U186">
        <f>IF(AND(بيانات!$B186&lt;&gt;"",بيانات!$G186="ذكر",بيانات!$H186&gt;=13),COUNTA($U$3:U186),"")</f>
        <v/>
      </c>
      <c r="V186">
        <f>IF(AND(بيانات!$B186&lt;&gt;"",بيانات!$G186="أنثى",بيانات!$H186&gt;=13),COUNTA($V$3:V186),"")</f>
        <v/>
      </c>
    </row>
    <row r="187">
      <c r="S187">
        <f>IF(AND(بيانات!$B187&lt;&gt;"",بيانات!$G187="ذكر",بيانات!$H187&lt;13),COUNTA($S$3:S187),"")</f>
        <v/>
      </c>
      <c r="T187">
        <f>IF(AND(بيانات!$B187&lt;&gt;"",بيانات!$G187="أنثى",بيانات!$H187&lt;13),COUNTA($T$3:T187),"")</f>
        <v/>
      </c>
      <c r="U187">
        <f>IF(AND(بيانات!$B187&lt;&gt;"",بيانات!$G187="ذكر",بيانات!$H187&gt;=13),COUNTA($U$3:U187),"")</f>
        <v/>
      </c>
      <c r="V187">
        <f>IF(AND(بيانات!$B187&lt;&gt;"",بيانات!$G187="أنثى",بيانات!$H187&gt;=13),COUNTA($V$3:V187),"")</f>
        <v/>
      </c>
    </row>
    <row r="188">
      <c r="S188">
        <f>IF(AND(بيانات!$B188&lt;&gt;"",بيانات!$G188="ذكر",بيانات!$H188&lt;13),COUNTA($S$3:S188),"")</f>
        <v/>
      </c>
      <c r="T188">
        <f>IF(AND(بيانات!$B188&lt;&gt;"",بيانات!$G188="أنثى",بيانات!$H188&lt;13),COUNTA($T$3:T188),"")</f>
        <v/>
      </c>
      <c r="U188">
        <f>IF(AND(بيانات!$B188&lt;&gt;"",بيانات!$G188="ذكر",بيانات!$H188&gt;=13),COUNTA($U$3:U188),"")</f>
        <v/>
      </c>
      <c r="V188">
        <f>IF(AND(بيانات!$B188&lt;&gt;"",بيانات!$G188="أنثى",بيانات!$H188&gt;=13),COUNTA($V$3:V188),"")</f>
        <v/>
      </c>
    </row>
    <row r="189">
      <c r="S189">
        <f>IF(AND(بيانات!$B189&lt;&gt;"",بيانات!$G189="ذكر",بيانات!$H189&lt;13),COUNTA($S$3:S189),"")</f>
        <v/>
      </c>
      <c r="T189">
        <f>IF(AND(بيانات!$B189&lt;&gt;"",بيانات!$G189="أنثى",بيانات!$H189&lt;13),COUNTA($T$3:T189),"")</f>
        <v/>
      </c>
      <c r="U189">
        <f>IF(AND(بيانات!$B189&lt;&gt;"",بيانات!$G189="ذكر",بيانات!$H189&gt;=13),COUNTA($U$3:U189),"")</f>
        <v/>
      </c>
      <c r="V189">
        <f>IF(AND(بيانات!$B189&lt;&gt;"",بيانات!$G189="أنثى",بيانات!$H189&gt;=13),COUNTA($V$3:V189),"")</f>
        <v/>
      </c>
    </row>
    <row r="190">
      <c r="S190">
        <f>IF(AND(بيانات!$B190&lt;&gt;"",بيانات!$G190="ذكر",بيانات!$H190&lt;13),COUNTA($S$3:S190),"")</f>
        <v/>
      </c>
      <c r="T190">
        <f>IF(AND(بيانات!$B190&lt;&gt;"",بيانات!$G190="أنثى",بيانات!$H190&lt;13),COUNTA($T$3:T190),"")</f>
        <v/>
      </c>
      <c r="U190">
        <f>IF(AND(بيانات!$B190&lt;&gt;"",بيانات!$G190="ذكر",بيانات!$H190&gt;=13),COUNTA($U$3:U190),"")</f>
        <v/>
      </c>
      <c r="V190">
        <f>IF(AND(بيانات!$B190&lt;&gt;"",بيانات!$G190="أنثى",بيانات!$H190&gt;=13),COUNTA($V$3:V190),"")</f>
        <v/>
      </c>
    </row>
    <row r="191">
      <c r="S191">
        <f>IF(AND(بيانات!$B191&lt;&gt;"",بيانات!$G191="ذكر",بيانات!$H191&lt;13),COUNTA($S$3:S191),"")</f>
        <v/>
      </c>
      <c r="T191">
        <f>IF(AND(بيانات!$B191&lt;&gt;"",بيانات!$G191="أنثى",بيانات!$H191&lt;13),COUNTA($T$3:T191),"")</f>
        <v/>
      </c>
      <c r="U191">
        <f>IF(AND(بيانات!$B191&lt;&gt;"",بيانات!$G191="ذكر",بيانات!$H191&gt;=13),COUNTA($U$3:U191),"")</f>
        <v/>
      </c>
      <c r="V191">
        <f>IF(AND(بيانات!$B191&lt;&gt;"",بيانات!$G191="أنثى",بيانات!$H191&gt;=13),COUNTA($V$3:V191),"")</f>
        <v/>
      </c>
    </row>
    <row r="192">
      <c r="S192">
        <f>IF(AND(بيانات!$B192&lt;&gt;"",بيانات!$G192="ذكر",بيانات!$H192&lt;13),COUNTA($S$3:S192),"")</f>
        <v/>
      </c>
      <c r="T192">
        <f>IF(AND(بيانات!$B192&lt;&gt;"",بيانات!$G192="أنثى",بيانات!$H192&lt;13),COUNTA($T$3:T192),"")</f>
        <v/>
      </c>
      <c r="U192">
        <f>IF(AND(بيانات!$B192&lt;&gt;"",بيانات!$G192="ذكر",بيانات!$H192&gt;=13),COUNTA($U$3:U192),"")</f>
        <v/>
      </c>
      <c r="V192">
        <f>IF(AND(بيانات!$B192&lt;&gt;"",بيانات!$G192="أنثى",بيانات!$H192&gt;=13),COUNTA($V$3:V192),"")</f>
        <v/>
      </c>
    </row>
    <row r="193">
      <c r="S193">
        <f>IF(AND(بيانات!$B193&lt;&gt;"",بيانات!$G193="ذكر",بيانات!$H193&lt;13),COUNTA($S$3:S193),"")</f>
        <v/>
      </c>
      <c r="T193">
        <f>IF(AND(بيانات!$B193&lt;&gt;"",بيانات!$G193="أنثى",بيانات!$H193&lt;13),COUNTA($T$3:T193),"")</f>
        <v/>
      </c>
      <c r="U193">
        <f>IF(AND(بيانات!$B193&lt;&gt;"",بيانات!$G193="ذكر",بيانات!$H193&gt;=13),COUNTA($U$3:U193),"")</f>
        <v/>
      </c>
      <c r="V193">
        <f>IF(AND(بيانات!$B193&lt;&gt;"",بيانات!$G193="أنثى",بيانات!$H193&gt;=13),COUNTA($V$3:V193),"")</f>
        <v/>
      </c>
    </row>
    <row r="194">
      <c r="S194">
        <f>IF(AND(بيانات!$B194&lt;&gt;"",بيانات!$G194="ذكر",بيانات!$H194&lt;13),COUNTA($S$3:S194),"")</f>
        <v/>
      </c>
      <c r="T194">
        <f>IF(AND(بيانات!$B194&lt;&gt;"",بيانات!$G194="أنثى",بيانات!$H194&lt;13),COUNTA($T$3:T194),"")</f>
        <v/>
      </c>
      <c r="U194">
        <f>IF(AND(بيانات!$B194&lt;&gt;"",بيانات!$G194="ذكر",بيانات!$H194&gt;=13),COUNTA($U$3:U194),"")</f>
        <v/>
      </c>
      <c r="V194">
        <f>IF(AND(بيانات!$B194&lt;&gt;"",بيانات!$G194="أنثى",بيانات!$H194&gt;=13),COUNTA($V$3:V194),"")</f>
        <v/>
      </c>
    </row>
    <row r="195">
      <c r="S195">
        <f>IF(AND(بيانات!$B195&lt;&gt;"",بيانات!$G195="ذكر",بيانات!$H195&lt;13),COUNTA($S$3:S195),"")</f>
        <v/>
      </c>
      <c r="T195">
        <f>IF(AND(بيانات!$B195&lt;&gt;"",بيانات!$G195="أنثى",بيانات!$H195&lt;13),COUNTA($T$3:T195),"")</f>
        <v/>
      </c>
      <c r="U195">
        <f>IF(AND(بيانات!$B195&lt;&gt;"",بيانات!$G195="ذكر",بيانات!$H195&gt;=13),COUNTA($U$3:U195),"")</f>
        <v/>
      </c>
      <c r="V195">
        <f>IF(AND(بيانات!$B195&lt;&gt;"",بيانات!$G195="أنثى",بيانات!$H195&gt;=13),COUNTA($V$3:V195),"")</f>
        <v/>
      </c>
    </row>
    <row r="196">
      <c r="S196">
        <f>IF(AND(بيانات!$B196&lt;&gt;"",بيانات!$G196="ذكر",بيانات!$H196&lt;13),COUNTA($S$3:S196),"")</f>
        <v/>
      </c>
      <c r="T196">
        <f>IF(AND(بيانات!$B196&lt;&gt;"",بيانات!$G196="أنثى",بيانات!$H196&lt;13),COUNTA($T$3:T196),"")</f>
        <v/>
      </c>
      <c r="U196">
        <f>IF(AND(بيانات!$B196&lt;&gt;"",بيانات!$G196="ذكر",بيانات!$H196&gt;=13),COUNTA($U$3:U196),"")</f>
        <v/>
      </c>
      <c r="V196">
        <f>IF(AND(بيانات!$B196&lt;&gt;"",بيانات!$G196="أنثى",بيانات!$H196&gt;=13),COUNTA($V$3:V196),"")</f>
        <v/>
      </c>
    </row>
    <row r="197">
      <c r="S197">
        <f>IF(AND(بيانات!$B197&lt;&gt;"",بيانات!$G197="ذكر",بيانات!$H197&lt;13),COUNTA($S$3:S197),"")</f>
        <v/>
      </c>
      <c r="T197">
        <f>IF(AND(بيانات!$B197&lt;&gt;"",بيانات!$G197="أنثى",بيانات!$H197&lt;13),COUNTA($T$3:T197),"")</f>
        <v/>
      </c>
      <c r="U197">
        <f>IF(AND(بيانات!$B197&lt;&gt;"",بيانات!$G197="ذكر",بيانات!$H197&gt;=13),COUNTA($U$3:U197),"")</f>
        <v/>
      </c>
      <c r="V197">
        <f>IF(AND(بيانات!$B197&lt;&gt;"",بيانات!$G197="أنثى",بيانات!$H197&gt;=13),COUNTA($V$3:V197),"")</f>
        <v/>
      </c>
    </row>
    <row r="198">
      <c r="S198">
        <f>IF(AND(بيانات!$B198&lt;&gt;"",بيانات!$G198="ذكر",بيانات!$H198&lt;13),COUNTA($S$3:S198),"")</f>
        <v/>
      </c>
      <c r="T198">
        <f>IF(AND(بيانات!$B198&lt;&gt;"",بيانات!$G198="أنثى",بيانات!$H198&lt;13),COUNTA($T$3:T198),"")</f>
        <v/>
      </c>
      <c r="U198">
        <f>IF(AND(بيانات!$B198&lt;&gt;"",بيانات!$G198="ذكر",بيانات!$H198&gt;=13),COUNTA($U$3:U198),"")</f>
        <v/>
      </c>
      <c r="V198">
        <f>IF(AND(بيانات!$B198&lt;&gt;"",بيانات!$G198="أنثى",بيانات!$H198&gt;=13),COUNTA($V$3:V198),"")</f>
        <v/>
      </c>
    </row>
    <row r="199">
      <c r="S199">
        <f>IF(AND(بيانات!$B199&lt;&gt;"",بيانات!$G199="ذكر",بيانات!$H199&lt;13),COUNTA($S$3:S199),"")</f>
        <v/>
      </c>
      <c r="T199">
        <f>IF(AND(بيانات!$B199&lt;&gt;"",بيانات!$G199="أنثى",بيانات!$H199&lt;13),COUNTA($T$3:T199),"")</f>
        <v/>
      </c>
      <c r="U199">
        <f>IF(AND(بيانات!$B199&lt;&gt;"",بيانات!$G199="ذكر",بيانات!$H199&gt;=13),COUNTA($U$3:U199),"")</f>
        <v/>
      </c>
      <c r="V199">
        <f>IF(AND(بيانات!$B199&lt;&gt;"",بيانات!$G199="أنثى",بيانات!$H199&gt;=13),COUNTA($V$3:V199),"")</f>
        <v/>
      </c>
    </row>
    <row r="200">
      <c r="S200">
        <f>IF(AND(بيانات!$B200&lt;&gt;"",بيانات!$G200="ذكر",بيانات!$H200&lt;13),COUNTA($S$3:S200),"")</f>
        <v/>
      </c>
      <c r="T200">
        <f>IF(AND(بيانات!$B200&lt;&gt;"",بيانات!$G200="أنثى",بيانات!$H200&lt;13),COUNTA($T$3:T200),"")</f>
        <v/>
      </c>
      <c r="U200">
        <f>IF(AND(بيانات!$B200&lt;&gt;"",بيانات!$G200="ذكر",بيانات!$H200&gt;=13),COUNTA($U$3:U200),"")</f>
        <v/>
      </c>
      <c r="V200">
        <f>IF(AND(بيانات!$B200&lt;&gt;"",بيانات!$G200="أنثى",بيانات!$H200&gt;=13),COUNTA($V$3:V200),"")</f>
        <v/>
      </c>
    </row>
    <row r="201">
      <c r="S201">
        <f>IF(AND(بيانات!$B201&lt;&gt;"",بيانات!$G201="ذكر",بيانات!$H201&lt;13),COUNTA($S$3:S201),"")</f>
        <v/>
      </c>
      <c r="T201">
        <f>IF(AND(بيانات!$B201&lt;&gt;"",بيانات!$G201="أنثى",بيانات!$H201&lt;13),COUNTA($T$3:T201),"")</f>
        <v/>
      </c>
      <c r="U201">
        <f>IF(AND(بيانات!$B201&lt;&gt;"",بيانات!$G201="ذكر",بيانات!$H201&gt;=13),COUNTA($U$3:U201),"")</f>
        <v/>
      </c>
      <c r="V201">
        <f>IF(AND(بيانات!$B201&lt;&gt;"",بيانات!$G201="أنثى",بيانات!$H201&gt;=13),COUNTA($V$3:V201),"")</f>
        <v/>
      </c>
    </row>
    <row r="202">
      <c r="S202">
        <f>IF(AND(بيانات!$B202&lt;&gt;"",بيانات!$G202="ذكر",بيانات!$H202&lt;13),COUNTA($S$3:S202),"")</f>
        <v/>
      </c>
      <c r="T202">
        <f>IF(AND(بيانات!$B202&lt;&gt;"",بيانات!$G202="أنثى",بيانات!$H202&lt;13),COUNTA($T$3:T202),"")</f>
        <v/>
      </c>
      <c r="U202">
        <f>IF(AND(بيانات!$B202&lt;&gt;"",بيانات!$G202="ذكر",بيانات!$H202&gt;=13),COUNTA($U$3:U202),"")</f>
        <v/>
      </c>
      <c r="V202">
        <f>IF(AND(بيانات!$B202&lt;&gt;"",بيانات!$G202="أنثى",بيانات!$H202&gt;=13),COUNTA($V$3:V202),"")</f>
        <v/>
      </c>
    </row>
  </sheetData>
  <mergeCells count="9">
    <mergeCell ref="A1:V1"/>
    <mergeCell ref="M4:O4"/>
    <mergeCell ref="M3:O3"/>
    <mergeCell ref="A3:C3"/>
    <mergeCell ref="E4:G4"/>
    <mergeCell ref="E3:G3"/>
    <mergeCell ref="I4:K4"/>
    <mergeCell ref="I3:K3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منظومة اشتراكات RCS v3</dc:title>
  <dc:description xmlns:dc="http://purl.org/dc/elements/1.1/">منظومة إدارة اشتراكات نادي RCS مع خانات اختيار</dc:description>
  <dcterms:created xmlns:dcterms="http://purl.org/dc/terms/" xmlns:xsi="http://www.w3.org/2001/XMLSchema-instance" xsi:type="dcterms:W3CDTF">2026-06-30T19:20:58Z</dcterms:created>
  <dcterms:modified xmlns:dcterms="http://purl.org/dc/terms/" xmlns:xsi="http://www.w3.org/2001/XMLSchema-instance" xsi:type="dcterms:W3CDTF">2026-06-30T19:20:59Z</dcterms:modified>
</cp:coreProperties>
</file>